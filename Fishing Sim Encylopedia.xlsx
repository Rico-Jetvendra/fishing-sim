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xampp74\htdocs\fishing-sim\"/>
    </mc:Choice>
  </mc:AlternateContent>
  <xr:revisionPtr revIDLastSave="0" documentId="13_ncr:1_{7458AD0A-910D-4CCA-9A76-7E1B8FF4EC45}" xr6:coauthVersionLast="47" xr6:coauthVersionMax="47" xr10:uidLastSave="{00000000-0000-0000-0000-000000000000}"/>
  <bookViews>
    <workbookView xWindow="-108" yWindow="-108" windowWidth="23256" windowHeight="12456" activeTab="2" xr2:uid="{9977F37B-D2C6-4802-9F43-18753E2C43C3}"/>
  </bookViews>
  <sheets>
    <sheet name="Glossary" sheetId="4" r:id="rId1"/>
    <sheet name="Rarity" sheetId="6" r:id="rId2"/>
    <sheet name="Bait" sheetId="1" r:id="rId3"/>
    <sheet name="Rod" sheetId="7" r:id="rId4"/>
    <sheet name="Fish" sheetId="2" r:id="rId5"/>
    <sheet name="Fish Type" sheetId="9" r:id="rId6"/>
    <sheet name="Mutation" sheetId="5" r:id="rId7"/>
    <sheet name="Location" sheetId="3" r:id="rId8"/>
    <sheet name="Total" sheetId="8" r:id="rId9"/>
  </sheets>
  <definedNames>
    <definedName name="_xlnm._FilterDatabase" localSheetId="2" hidden="1">Bait!$A$1:$D$1</definedName>
    <definedName name="_xlnm._FilterDatabase" localSheetId="4" hidden="1">Fish!$A$1:$M$102</definedName>
    <definedName name="_xlnm._FilterDatabase" localSheetId="7" hidden="1">Location!$A$1:$D$35</definedName>
    <definedName name="_xlnm._FilterDatabase" localSheetId="6" hidden="1">Mutation!$A$1:$H$1</definedName>
    <definedName name="_xlnm._FilterDatabase" localSheetId="8" hidden="1">Total!$A$1:$N$1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 i="5"/>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2" i="2"/>
  <c r="O3" i="2" a="1"/>
  <c r="O3" i="2" s="1"/>
  <c r="O4" i="2" a="1"/>
  <c r="O4" i="2"/>
  <c r="O5" i="2" a="1"/>
  <c r="O5" i="2"/>
  <c r="O6" i="2" a="1"/>
  <c r="O6" i="2"/>
  <c r="O7" i="2" a="1"/>
  <c r="O7" i="2" s="1"/>
  <c r="O8" i="2" a="1"/>
  <c r="O8" i="2"/>
  <c r="O9" i="2" a="1"/>
  <c r="O9" i="2"/>
  <c r="O10" i="2" a="1"/>
  <c r="O10" i="2"/>
  <c r="O11" i="2" a="1"/>
  <c r="O11" i="2" s="1"/>
  <c r="O12" i="2" a="1"/>
  <c r="O12" i="2"/>
  <c r="O13" i="2" a="1"/>
  <c r="O13" i="2"/>
  <c r="O14" i="2" a="1"/>
  <c r="O14" i="2"/>
  <c r="O15" i="2" a="1"/>
  <c r="O15" i="2" s="1"/>
  <c r="O16" i="2" a="1"/>
  <c r="O16" i="2"/>
  <c r="O17" i="2" a="1"/>
  <c r="O17" i="2"/>
  <c r="O18" i="2" a="1"/>
  <c r="O18" i="2"/>
  <c r="O19" i="2" a="1"/>
  <c r="O19" i="2" s="1"/>
  <c r="O20" i="2" a="1"/>
  <c r="O20" i="2"/>
  <c r="O21" i="2" a="1"/>
  <c r="O21" i="2"/>
  <c r="O22" i="2" a="1"/>
  <c r="O22" i="2"/>
  <c r="O23" i="2" a="1"/>
  <c r="O23" i="2" s="1"/>
  <c r="O24" i="2" a="1"/>
  <c r="O24" i="2"/>
  <c r="O25" i="2" a="1"/>
  <c r="O25" i="2"/>
  <c r="O26" i="2" a="1"/>
  <c r="O26" i="2"/>
  <c r="O27" i="2" a="1"/>
  <c r="O27" i="2" s="1"/>
  <c r="O28" i="2" a="1"/>
  <c r="O28" i="2"/>
  <c r="O29" i="2" a="1"/>
  <c r="O29" i="2"/>
  <c r="O30" i="2" a="1"/>
  <c r="O30" i="2"/>
  <c r="O31" i="2" a="1"/>
  <c r="O31" i="2" s="1"/>
  <c r="O32" i="2" a="1"/>
  <c r="O32" i="2"/>
  <c r="O33" i="2" a="1"/>
  <c r="O33" i="2"/>
  <c r="O34" i="2" a="1"/>
  <c r="O34" i="2"/>
  <c r="O35" i="2" a="1"/>
  <c r="O35" i="2" s="1"/>
  <c r="O36" i="2" a="1"/>
  <c r="O36" i="2"/>
  <c r="O37" i="2" a="1"/>
  <c r="O37" i="2"/>
  <c r="O38" i="2" a="1"/>
  <c r="O38" i="2"/>
  <c r="O39" i="2" a="1"/>
  <c r="O39" i="2" s="1"/>
  <c r="O40" i="2" a="1"/>
  <c r="O40" i="2"/>
  <c r="O41" i="2" a="1"/>
  <c r="O41" i="2"/>
  <c r="O42" i="2" a="1"/>
  <c r="O42" i="2"/>
  <c r="O43" i="2" a="1"/>
  <c r="O43" i="2" s="1"/>
  <c r="O44" i="2" a="1"/>
  <c r="O44" i="2"/>
  <c r="O45" i="2" a="1"/>
  <c r="O45" i="2"/>
  <c r="O46" i="2" a="1"/>
  <c r="O46" i="2"/>
  <c r="O47" i="2" a="1"/>
  <c r="O47" i="2" s="1"/>
  <c r="O48" i="2" a="1"/>
  <c r="O48" i="2"/>
  <c r="O49" i="2" a="1"/>
  <c r="O49" i="2"/>
  <c r="O50" i="2" a="1"/>
  <c r="O50" i="2"/>
  <c r="O51" i="2" a="1"/>
  <c r="O51" i="2" s="1"/>
  <c r="O52" i="2" a="1"/>
  <c r="O52" i="2"/>
  <c r="O53" i="2" a="1"/>
  <c r="O53" i="2"/>
  <c r="O54" i="2" a="1"/>
  <c r="O54" i="2"/>
  <c r="O55" i="2" a="1"/>
  <c r="O55" i="2" s="1"/>
  <c r="O56" i="2" a="1"/>
  <c r="O56" i="2"/>
  <c r="O57" i="2" a="1"/>
  <c r="O57" i="2"/>
  <c r="O58" i="2" a="1"/>
  <c r="O58" i="2"/>
  <c r="O59" i="2" a="1"/>
  <c r="O59" i="2" s="1"/>
  <c r="O60" i="2" a="1"/>
  <c r="O60" i="2"/>
  <c r="O61" i="2" a="1"/>
  <c r="O61" i="2"/>
  <c r="O62" i="2" a="1"/>
  <c r="O62" i="2"/>
  <c r="O63" i="2" a="1"/>
  <c r="O63" i="2" s="1"/>
  <c r="O64" i="2" a="1"/>
  <c r="O64" i="2"/>
  <c r="O65" i="2" a="1"/>
  <c r="O65" i="2"/>
  <c r="O66" i="2" a="1"/>
  <c r="O66" i="2"/>
  <c r="O67" i="2" a="1"/>
  <c r="O67" i="2" s="1"/>
  <c r="O68" i="2" a="1"/>
  <c r="O68" i="2"/>
  <c r="O69" i="2" a="1"/>
  <c r="O69" i="2"/>
  <c r="O70" i="2" a="1"/>
  <c r="O70" i="2"/>
  <c r="O71" i="2" a="1"/>
  <c r="O71" i="2" s="1"/>
  <c r="O72" i="2" a="1"/>
  <c r="O72" i="2"/>
  <c r="O73" i="2" a="1"/>
  <c r="O73" i="2"/>
  <c r="O74" i="2" a="1"/>
  <c r="O74" i="2"/>
  <c r="O75" i="2" a="1"/>
  <c r="O75" i="2" s="1"/>
  <c r="O76" i="2" a="1"/>
  <c r="O76" i="2"/>
  <c r="O77" i="2" a="1"/>
  <c r="O77" i="2"/>
  <c r="O78" i="2" a="1"/>
  <c r="O78" i="2"/>
  <c r="O79" i="2" a="1"/>
  <c r="O79" i="2" s="1"/>
  <c r="O80" i="2" a="1"/>
  <c r="O80" i="2"/>
  <c r="O81" i="2" a="1"/>
  <c r="O81" i="2"/>
  <c r="O82" i="2" a="1"/>
  <c r="O82" i="2"/>
  <c r="O83" i="2" a="1"/>
  <c r="O83" i="2" s="1"/>
  <c r="O84" i="2" a="1"/>
  <c r="O84" i="2"/>
  <c r="O85" i="2" a="1"/>
  <c r="O85" i="2"/>
  <c r="O86" i="2" a="1"/>
  <c r="O86" i="2"/>
  <c r="O87" i="2" a="1"/>
  <c r="O87" i="2" s="1"/>
  <c r="O88" i="2" a="1"/>
  <c r="O88" i="2"/>
  <c r="O89" i="2" a="1"/>
  <c r="O89" i="2"/>
  <c r="O90" i="2" a="1"/>
  <c r="O90" i="2"/>
  <c r="O91" i="2" a="1"/>
  <c r="O91" i="2" s="1"/>
  <c r="O92" i="2" a="1"/>
  <c r="O92" i="2"/>
  <c r="O93" i="2" a="1"/>
  <c r="O93" i="2"/>
  <c r="O94" i="2" a="1"/>
  <c r="O94" i="2"/>
  <c r="O95" i="2" a="1"/>
  <c r="O95" i="2" s="1"/>
  <c r="O96" i="2" a="1"/>
  <c r="O96" i="2"/>
  <c r="O97" i="2" a="1"/>
  <c r="O97" i="2"/>
  <c r="O98" i="2" a="1"/>
  <c r="O98" i="2"/>
  <c r="O99" i="2" a="1"/>
  <c r="O99" i="2" s="1"/>
  <c r="O100" i="2" a="1"/>
  <c r="O100" i="2"/>
  <c r="O101" i="2" a="1"/>
  <c r="O101" i="2"/>
  <c r="O2" i="2" a="1"/>
  <c r="O2" i="2" s="1"/>
  <c r="N3" i="2" a="1"/>
  <c r="N3" i="2" s="1"/>
  <c r="N4" i="2" a="1"/>
  <c r="N4" i="2"/>
  <c r="N5" i="2" a="1"/>
  <c r="N5" i="2"/>
  <c r="N6" i="2" a="1"/>
  <c r="N6" i="2"/>
  <c r="N7" i="2" a="1"/>
  <c r="N7" i="2" s="1"/>
  <c r="N8" i="2" a="1"/>
  <c r="N8" i="2"/>
  <c r="N9" i="2" a="1"/>
  <c r="N9" i="2"/>
  <c r="N10" i="2" a="1"/>
  <c r="N10" i="2"/>
  <c r="N11" i="2" a="1"/>
  <c r="N11" i="2" s="1"/>
  <c r="N12" i="2" a="1"/>
  <c r="N12" i="2" s="1"/>
  <c r="N13" i="2" a="1"/>
  <c r="N13" i="2"/>
  <c r="N14" i="2" a="1"/>
  <c r="N14" i="2"/>
  <c r="N15" i="2" a="1"/>
  <c r="N15" i="2" s="1"/>
  <c r="N16" i="2" a="1"/>
  <c r="N16" i="2" s="1"/>
  <c r="N17" i="2" a="1"/>
  <c r="N17" i="2"/>
  <c r="N18" i="2" a="1"/>
  <c r="N18" i="2"/>
  <c r="N19" i="2" a="1"/>
  <c r="N19" i="2" s="1"/>
  <c r="N20" i="2" a="1"/>
  <c r="N20" i="2" s="1"/>
  <c r="N21" i="2" a="1"/>
  <c r="N21" i="2"/>
  <c r="N22" i="2" a="1"/>
  <c r="N22" i="2"/>
  <c r="N23" i="2" a="1"/>
  <c r="N23" i="2" s="1"/>
  <c r="N24" i="2" a="1"/>
  <c r="N24" i="2" s="1"/>
  <c r="N25" i="2" a="1"/>
  <c r="N25" i="2"/>
  <c r="N26" i="2" a="1"/>
  <c r="N26" i="2"/>
  <c r="N27" i="2" a="1"/>
  <c r="N27" i="2" s="1"/>
  <c r="N28" i="2" a="1"/>
  <c r="N28" i="2" s="1"/>
  <c r="N29" i="2" a="1"/>
  <c r="N29" i="2"/>
  <c r="N30" i="2" a="1"/>
  <c r="N30" i="2"/>
  <c r="N31" i="2" a="1"/>
  <c r="N31" i="2" s="1"/>
  <c r="N32" i="2" a="1"/>
  <c r="N32" i="2" s="1"/>
  <c r="N33" i="2" a="1"/>
  <c r="N33" i="2"/>
  <c r="N34" i="2" a="1"/>
  <c r="N34" i="2"/>
  <c r="N35" i="2" a="1"/>
  <c r="N35" i="2" s="1"/>
  <c r="N36" i="2" a="1"/>
  <c r="N36" i="2" s="1"/>
  <c r="N37" i="2" a="1"/>
  <c r="N37" i="2"/>
  <c r="N38" i="2" a="1"/>
  <c r="N38" i="2"/>
  <c r="N39" i="2" a="1"/>
  <c r="N39" i="2" s="1"/>
  <c r="N40" i="2" a="1"/>
  <c r="N40" i="2" s="1"/>
  <c r="N41" i="2" a="1"/>
  <c r="N41" i="2"/>
  <c r="N42" i="2" a="1"/>
  <c r="N42" i="2"/>
  <c r="N43" i="2" a="1"/>
  <c r="N43" i="2" s="1"/>
  <c r="N44" i="2" a="1"/>
  <c r="N44" i="2" s="1"/>
  <c r="N45" i="2" a="1"/>
  <c r="N45" i="2"/>
  <c r="N46" i="2" a="1"/>
  <c r="N46" i="2"/>
  <c r="N47" i="2" a="1"/>
  <c r="N47" i="2" s="1"/>
  <c r="N48" i="2" a="1"/>
  <c r="N48" i="2" s="1"/>
  <c r="N49" i="2" a="1"/>
  <c r="N49" i="2"/>
  <c r="N50" i="2" a="1"/>
  <c r="N50" i="2"/>
  <c r="N51" i="2" a="1"/>
  <c r="N51" i="2" s="1"/>
  <c r="N52" i="2" a="1"/>
  <c r="N52" i="2" s="1"/>
  <c r="N53" i="2" a="1"/>
  <c r="N53" i="2"/>
  <c r="N54" i="2" a="1"/>
  <c r="N54" i="2"/>
  <c r="N55" i="2" a="1"/>
  <c r="N55" i="2" s="1"/>
  <c r="N56" i="2" a="1"/>
  <c r="N56" i="2" s="1"/>
  <c r="N57" i="2" a="1"/>
  <c r="N57" i="2"/>
  <c r="N58" i="2" a="1"/>
  <c r="N58" i="2"/>
  <c r="N59" i="2" a="1"/>
  <c r="N59" i="2" s="1"/>
  <c r="N60" i="2" a="1"/>
  <c r="N60" i="2" s="1"/>
  <c r="N61" i="2" a="1"/>
  <c r="N61" i="2"/>
  <c r="N62" i="2" a="1"/>
  <c r="N62" i="2"/>
  <c r="N63" i="2" a="1"/>
  <c r="N63" i="2" s="1"/>
  <c r="N64" i="2" a="1"/>
  <c r="N64" i="2" s="1"/>
  <c r="N65" i="2" a="1"/>
  <c r="N65" i="2"/>
  <c r="N66" i="2" a="1"/>
  <c r="N66" i="2"/>
  <c r="N67" i="2" a="1"/>
  <c r="N67" i="2" s="1"/>
  <c r="N68" i="2" a="1"/>
  <c r="N68" i="2" s="1"/>
  <c r="N69" i="2" a="1"/>
  <c r="N69" i="2"/>
  <c r="N70" i="2" a="1"/>
  <c r="N70" i="2"/>
  <c r="N71" i="2" a="1"/>
  <c r="N71" i="2" s="1"/>
  <c r="N72" i="2" a="1"/>
  <c r="N72" i="2" s="1"/>
  <c r="N73" i="2" a="1"/>
  <c r="N73" i="2"/>
  <c r="N74" i="2" a="1"/>
  <c r="N74" i="2"/>
  <c r="N75" i="2" a="1"/>
  <c r="N75" i="2" s="1"/>
  <c r="N76" i="2" a="1"/>
  <c r="N76" i="2" s="1"/>
  <c r="N77" i="2" a="1"/>
  <c r="N77" i="2"/>
  <c r="N78" i="2" a="1"/>
  <c r="N78" i="2"/>
  <c r="N79" i="2" a="1"/>
  <c r="N79" i="2" s="1"/>
  <c r="N80" i="2" a="1"/>
  <c r="N80" i="2" s="1"/>
  <c r="N81" i="2" a="1"/>
  <c r="N81" i="2"/>
  <c r="N82" i="2" a="1"/>
  <c r="N82" i="2"/>
  <c r="N83" i="2" a="1"/>
  <c r="N83" i="2" s="1"/>
  <c r="N84" i="2" a="1"/>
  <c r="N84" i="2" s="1"/>
  <c r="N85" i="2" a="1"/>
  <c r="N85" i="2"/>
  <c r="N86" i="2" a="1"/>
  <c r="N86" i="2"/>
  <c r="N87" i="2" a="1"/>
  <c r="N87" i="2" s="1"/>
  <c r="N88" i="2" a="1"/>
  <c r="N88" i="2" s="1"/>
  <c r="N89" i="2" a="1"/>
  <c r="N89" i="2"/>
  <c r="N90" i="2" a="1"/>
  <c r="N90" i="2"/>
  <c r="N91" i="2" a="1"/>
  <c r="N91" i="2" s="1"/>
  <c r="N92" i="2" a="1"/>
  <c r="N92" i="2" s="1"/>
  <c r="N93" i="2" a="1"/>
  <c r="N93" i="2"/>
  <c r="N94" i="2" a="1"/>
  <c r="N94" i="2"/>
  <c r="N95" i="2" a="1"/>
  <c r="N95" i="2" s="1"/>
  <c r="N96" i="2" a="1"/>
  <c r="N96" i="2" s="1"/>
  <c r="N97" i="2" a="1"/>
  <c r="N97" i="2"/>
  <c r="N98" i="2" a="1"/>
  <c r="N98" i="2"/>
  <c r="N99" i="2" a="1"/>
  <c r="N99" i="2" s="1"/>
  <c r="N100" i="2" a="1"/>
  <c r="N100" i="2" s="1"/>
  <c r="N101" i="2" a="1"/>
  <c r="N101" i="2"/>
  <c r="N2" i="2" a="1"/>
  <c r="N2" i="2" s="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2" i="9"/>
  <c r="G3" i="8"/>
  <c r="I3" i="8"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2" i="3"/>
  <c r="D20" i="8"/>
  <c r="D19" i="8"/>
  <c r="D18" i="8"/>
  <c r="D3" i="7"/>
  <c r="D4" i="7"/>
  <c r="D5" i="7"/>
  <c r="D6" i="7"/>
  <c r="D7" i="7"/>
  <c r="D8" i="7"/>
  <c r="D9" i="7"/>
  <c r="D10" i="7"/>
  <c r="D11" i="7"/>
  <c r="D12" i="7"/>
  <c r="D13" i="7"/>
  <c r="D14" i="7"/>
  <c r="D15" i="7"/>
  <c r="D16" i="7"/>
  <c r="D17" i="7"/>
  <c r="D18" i="7"/>
  <c r="D19" i="7"/>
  <c r="D2" i="7"/>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2" i="1"/>
  <c r="N6" i="8"/>
  <c r="N4" i="8" a="1"/>
  <c r="N4" i="8" s="1"/>
  <c r="D4" i="8" a="1"/>
  <c r="D4" i="8" s="1"/>
  <c r="D3" i="8" a="1"/>
  <c r="D3" i="8" s="1"/>
  <c r="D2" i="8" a="1"/>
  <c r="D2" i="8" s="1"/>
  <c r="G22" i="8"/>
  <c r="I22" i="8" s="1"/>
  <c r="G26" i="8"/>
  <c r="I26" i="8" s="1"/>
  <c r="G24" i="8"/>
  <c r="I24" i="8" s="1"/>
  <c r="G31" i="8"/>
  <c r="I31" i="8" s="1"/>
  <c r="G27" i="8"/>
  <c r="I27" i="8" s="1"/>
  <c r="G28" i="8"/>
  <c r="I28" i="8" s="1"/>
  <c r="G30" i="8"/>
  <c r="I30" i="8" s="1"/>
  <c r="I18" i="8"/>
  <c r="G5" i="8"/>
  <c r="I5" i="8" s="1"/>
  <c r="G34" i="8"/>
  <c r="I34" i="8" s="1"/>
  <c r="G19" i="8"/>
  <c r="I19" i="8" s="1"/>
  <c r="G17" i="8"/>
  <c r="I17" i="8" s="1"/>
  <c r="G23" i="8"/>
  <c r="I23" i="8" s="1"/>
  <c r="I7" i="8"/>
  <c r="I11" i="8"/>
  <c r="I13" i="8"/>
  <c r="I9" i="8"/>
  <c r="G4" i="8"/>
  <c r="I4" i="8" s="1"/>
  <c r="G6" i="8"/>
  <c r="I6" i="8" s="1"/>
  <c r="G8" i="8"/>
  <c r="I8" i="8" s="1"/>
  <c r="G10" i="8"/>
  <c r="I10" i="8" s="1"/>
  <c r="G12" i="8"/>
  <c r="I12" i="8" s="1"/>
  <c r="G14" i="8"/>
  <c r="I14" i="8" s="1"/>
  <c r="G15" i="8"/>
  <c r="I15" i="8" s="1"/>
  <c r="G20" i="8"/>
  <c r="I20" i="8" s="1"/>
  <c r="G21" i="8"/>
  <c r="I21" i="8" s="1"/>
  <c r="G25" i="8"/>
  <c r="I25" i="8" s="1"/>
  <c r="G29" i="8"/>
  <c r="I29" i="8" s="1"/>
  <c r="G32" i="8"/>
  <c r="I32" i="8" s="1"/>
  <c r="G16" i="8"/>
  <c r="I16" i="8" s="1"/>
  <c r="G33" i="8"/>
  <c r="I33" i="8" s="1"/>
  <c r="G2" i="8"/>
  <c r="I2" i="8" s="1"/>
  <c r="N7" i="8"/>
  <c r="N5" i="8"/>
  <c r="N2" i="8"/>
  <c r="N3" i="8"/>
  <c r="D6" i="8"/>
  <c r="D8" i="8"/>
  <c r="D7" i="8"/>
  <c r="D9" i="8"/>
  <c r="D10" i="8"/>
  <c r="D5" i="8"/>
  <c r="D17" i="8"/>
  <c r="D15" i="8"/>
  <c r="D16" i="8"/>
  <c r="D14" i="8"/>
  <c r="D13" i="8"/>
  <c r="D11" i="8"/>
  <c r="D1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<sst xmlns="http://schemas.openxmlformats.org/spreadsheetml/2006/main" count="2532" uniqueCount="1190">
  <si>
    <t>Name</t>
  </si>
  <si>
    <t>Description</t>
  </si>
  <si>
    <t>Type</t>
  </si>
  <si>
    <t>Bread</t>
  </si>
  <si>
    <t>Worm</t>
  </si>
  <si>
    <t>Dough</t>
  </si>
  <si>
    <t>Minnow</t>
  </si>
  <si>
    <t>Rarity</t>
  </si>
  <si>
    <t>Base Weight</t>
  </si>
  <si>
    <t>Min Weight</t>
  </si>
  <si>
    <t>Max Weight</t>
  </si>
  <si>
    <t>Min Length</t>
  </si>
  <si>
    <t>Max Length</t>
  </si>
  <si>
    <t>Common Carp</t>
  </si>
  <si>
    <t>Carp</t>
  </si>
  <si>
    <t>Common</t>
  </si>
  <si>
    <t>Silver Carp</t>
  </si>
  <si>
    <t>Uncommon</t>
  </si>
  <si>
    <t>A common carp is a widespread freshwater fish that can be found on almost every freshwater habitat.</t>
  </si>
  <si>
    <t>Mrigal Carp</t>
  </si>
  <si>
    <t>Rare</t>
  </si>
  <si>
    <t>This fish live in a lower water level and feeds on small insects and decomposed organic element.</t>
  </si>
  <si>
    <t>Brook Trout</t>
  </si>
  <si>
    <t>Trout</t>
  </si>
  <si>
    <t>6.5</t>
  </si>
  <si>
    <t>Brook trout also called Speckled trout has a green olive body with a yellow spot all over its body.</t>
  </si>
  <si>
    <t>Rainbow Trout</t>
  </si>
  <si>
    <t>0.5</t>
  </si>
  <si>
    <t>1.5</t>
  </si>
  <si>
    <t>Fish with a silvery body, and purple, pink and bluish streak down its flank</t>
  </si>
  <si>
    <t>Aurora Trout</t>
  </si>
  <si>
    <t>Aurora trout can be differentiated by its coloration, grading from magenta hue to nearly orange along the belly.</t>
  </si>
  <si>
    <t>1.1</t>
  </si>
  <si>
    <t>Common Bream</t>
  </si>
  <si>
    <t>Bream</t>
  </si>
  <si>
    <t>Common bream have a black fins and silver color in young bream that turn bronze when its got older</t>
  </si>
  <si>
    <t>Bluegill</t>
  </si>
  <si>
    <t>Water</t>
  </si>
  <si>
    <t>This insect lover usually hide near a cover and ambush their prey.</t>
  </si>
  <si>
    <t>Freshwater</t>
  </si>
  <si>
    <t>Astrafterí Lake</t>
  </si>
  <si>
    <t>Prasinos Creek</t>
  </si>
  <si>
    <t>Vasikos Pond</t>
  </si>
  <si>
    <t>Telma Swamp</t>
  </si>
  <si>
    <t>Theikos Spring</t>
  </si>
  <si>
    <t>Kaca Lake</t>
  </si>
  <si>
    <t>Purba Mangrove</t>
  </si>
  <si>
    <t>It is said that there was once a thriving civilization located in this mangrove forest.</t>
  </si>
  <si>
    <t>Seribu Arus River</t>
  </si>
  <si>
    <t>An infamous river that has an unpredictable current that shifts without warning. The home of many exotic fish can only be found here.</t>
  </si>
  <si>
    <t>Iremia River</t>
  </si>
  <si>
    <t>Mentari Pond</t>
  </si>
  <si>
    <t>Location</t>
  </si>
  <si>
    <t>Season</t>
  </si>
  <si>
    <t>Ourea, Seran</t>
  </si>
  <si>
    <t>Ourea</t>
  </si>
  <si>
    <t>Spring, Autumn</t>
  </si>
  <si>
    <t>Spring</t>
  </si>
  <si>
    <t>Autumn</t>
  </si>
  <si>
    <t>Spring, Summer, Autumn</t>
  </si>
  <si>
    <t>Summer</t>
  </si>
  <si>
    <t>Spring, Summer</t>
  </si>
  <si>
    <t>Spring, Autumn, Winter</t>
  </si>
  <si>
    <t>Summer, Autumn</t>
  </si>
  <si>
    <t>All</t>
  </si>
  <si>
    <t>Seroja Marsh</t>
  </si>
  <si>
    <t>Pond</t>
  </si>
  <si>
    <t>Lake</t>
  </si>
  <si>
    <t>Reservoir</t>
  </si>
  <si>
    <t>River</t>
  </si>
  <si>
    <t>Stream</t>
  </si>
  <si>
    <t>Creek</t>
  </si>
  <si>
    <t>Brook</t>
  </si>
  <si>
    <t>Canal</t>
  </si>
  <si>
    <t>Ditch</t>
  </si>
  <si>
    <t>Wetland</t>
  </si>
  <si>
    <t>Marsh</t>
  </si>
  <si>
    <t>Swamp</t>
  </si>
  <si>
    <t>Oxbow Lake</t>
  </si>
  <si>
    <t>Estuary</t>
  </si>
  <si>
    <t>Delta</t>
  </si>
  <si>
    <t>Lagoon</t>
  </si>
  <si>
    <t>Mangrove</t>
  </si>
  <si>
    <t>Tidal Creek</t>
  </si>
  <si>
    <t>Tidal River</t>
  </si>
  <si>
    <t>Saltwater</t>
  </si>
  <si>
    <t>Ocean</t>
  </si>
  <si>
    <t>Sea</t>
  </si>
  <si>
    <t>Bay</t>
  </si>
  <si>
    <t>Gulf</t>
  </si>
  <si>
    <t>Sound</t>
  </si>
  <si>
    <t>Cove</t>
  </si>
  <si>
    <t>Inlet</t>
  </si>
  <si>
    <t>Harbor</t>
  </si>
  <si>
    <t>Fjord</t>
  </si>
  <si>
    <t>A sprawling marshland renowned for its field of lotus covering the entire surface of water.</t>
  </si>
  <si>
    <t>Tanjung Seran Harbor</t>
  </si>
  <si>
    <t>Seawater</t>
  </si>
  <si>
    <t>The busiest harbor in Seran, where all the sea commodities are transported and distributed.</t>
  </si>
  <si>
    <t>Batu Kawah Lake</t>
  </si>
  <si>
    <t>A long river stretches across Ourea and Seran, with plenty of fish to catch. The Seranese called this river Bengawan.</t>
  </si>
  <si>
    <t>This lake forms from the erupted volcano near the town and is now home to many fish.</t>
  </si>
  <si>
    <t>Seroja Darah Swamp</t>
  </si>
  <si>
    <t>City</t>
  </si>
  <si>
    <t>Seran</t>
  </si>
  <si>
    <t>A lot of traders travelled to this place to take the water believed to be blessed by the Primordial Mountains God himself.</t>
  </si>
  <si>
    <t>Villagers near the lake claim that Naiads prevent the lake from drying even in the harshest summer time.</t>
  </si>
  <si>
    <t>Evrys River</t>
  </si>
  <si>
    <t>Some villagers believe this river is the gateway to Styx and occasionally give offerings to the river gods.</t>
  </si>
  <si>
    <t>A small stream that runs along the Psila Hill, where the locals believe is the home of water fairies.</t>
  </si>
  <si>
    <t>A small pond that has an abundance of fish, said to be blessed by Poseidon himself.</t>
  </si>
  <si>
    <t>The legend tells the story of a general who came to this swamp to slay a hydra and never came back.</t>
  </si>
  <si>
    <t>A pond inside Mentari Village is said to belong to an old general long before Mentari village establish.</t>
  </si>
  <si>
    <t>Swamp water inside Seroja Marshes, home of many predatory fish and terrifying Teras, where blood lotus said to come from</t>
  </si>
  <si>
    <t>Kaca Lake earned its name from its crystal clear water that makes the surface appear like glass. Local legend claims that on a full moon, you can gaze upon it and see your future self.</t>
  </si>
  <si>
    <t>Saint Luke Pond</t>
  </si>
  <si>
    <t>The pond that belongs to the church, the first fish that get capture by the fisherman has to be donated to the church.</t>
  </si>
  <si>
    <t>Rosegleam</t>
  </si>
  <si>
    <t>Wisp Swamp</t>
  </si>
  <si>
    <t>Sofia River</t>
  </si>
  <si>
    <t>The late Prince Kaiden is said to have drowned in this lake at a young age, and his father, King Simon turn the lake into a reservoir.</t>
  </si>
  <si>
    <t>Prince Kaiden Reservoir</t>
  </si>
  <si>
    <t>Named after the old Queen, who legend said was blessed by the god, and the mother of the first king of Rosegleam.</t>
  </si>
  <si>
    <t>Becket Cross Canal</t>
  </si>
  <si>
    <t>A man-made canal that connects to the Prince Kaiden Reservoir to maintain water for the city. Fishing is strictly prohibited without permit</t>
  </si>
  <si>
    <t>Countless reports tell a story of a will-o'-the-wisp appearing at night, trying to lure a fisherman to the depths of the swamp, where some people claim it was a den of mages.</t>
  </si>
  <si>
    <t>Merman Marsh</t>
  </si>
  <si>
    <t>Gröfgarðr Shore</t>
  </si>
  <si>
    <t>Tidehaven</t>
  </si>
  <si>
    <t>Powerful waves carry the shipwreck of a sailor unfortunate enough to be caught in Rán net.</t>
  </si>
  <si>
    <t>Sjókona Beach</t>
  </si>
  <si>
    <t xml:space="preserve">Sailor tells the tale of a women who is singing at the rock of Sjókona Beach to her lover, who abandons her in search of riches. </t>
  </si>
  <si>
    <t>Mikill Hvítar Lake</t>
  </si>
  <si>
    <t>Ægir Fjord</t>
  </si>
  <si>
    <t>Ormr River</t>
  </si>
  <si>
    <t>At the dead of the night, fishermen can hear an enchanting music coming from the lake, luring them to swim deep into the water.</t>
  </si>
  <si>
    <t>Old tales tell that the fjord was carved when Ægir struck down a great Draugr with a single blow.</t>
  </si>
  <si>
    <t>Freyja River</t>
  </si>
  <si>
    <t>Jötunn Cave</t>
  </si>
  <si>
    <t>Harma Ocean</t>
  </si>
  <si>
    <t>The tales of a grieving father surrounding this part of the ocean, sailors claim the father souls are still wandering the ocean, trying to find his son body.</t>
  </si>
  <si>
    <t>Reyr Marsh</t>
  </si>
  <si>
    <t>During a foggy night, fishermen reported movement along the tall reed, but they never saw anything after that.</t>
  </si>
  <si>
    <t>Yrviðr Swamp</t>
  </si>
  <si>
    <t>The skalds tell an ancient tale of Ymir, the ancestor of all the giants. Some claim that the cave reaches deep into the roots of the World Tree.</t>
  </si>
  <si>
    <t>Fish</t>
  </si>
  <si>
    <t>Grass Carp</t>
  </si>
  <si>
    <t>Grass Carp eggs require a long river to survive, and the eggs will be considered dead when they hit the bottom of the river.</t>
  </si>
  <si>
    <t>Black Carp</t>
  </si>
  <si>
    <t>Black Carp are an elongated fish with a fusiform body. They have a dusky gray, brown, or even bluish black color on their body.</t>
  </si>
  <si>
    <t>Bighead Carp</t>
  </si>
  <si>
    <t>The Bighead Carp has a large, scaleless head, a large mouth, and eyes that located very low on their head.</t>
  </si>
  <si>
    <t>Mud Carp</t>
  </si>
  <si>
    <t>Mud Carp is considered to be inedible the first time people caught it, but after the great incident, this fish became popular.</t>
  </si>
  <si>
    <t>This carp usually lives in a large pond or lake, but seasonally find its way into the canal, reservoir and flooded forest.</t>
  </si>
  <si>
    <t>Gibel Carp</t>
  </si>
  <si>
    <t>Gibel Carp reproduce and spread so rapidly that it is said that it can fill an entire medium-sized pond in its species alone.</t>
  </si>
  <si>
    <t>Crucian Carp</t>
  </si>
  <si>
    <t>This fish mainly lived in nutrient-rich water, but it can also lived in an extreme condition and harsh winter.</t>
  </si>
  <si>
    <t>Autumn, Winter</t>
  </si>
  <si>
    <t>Its neck has a bright red coloration, which makes it look like a slash wound; that's why it was called a Cutthroat Trout.</t>
  </si>
  <si>
    <t>Golden Trout</t>
  </si>
  <si>
    <t>Marbled Trout</t>
  </si>
  <si>
    <t>Tidehaven, Rosegleam</t>
  </si>
  <si>
    <t>Every first Golden Trout that is caught that day needs to be given to the royal family.</t>
  </si>
  <si>
    <t xml:space="preserve">The marble trout has a long, cylindrical body, slightly compressed laterally, with a large head. </t>
  </si>
  <si>
    <t>Lake Trout</t>
  </si>
  <si>
    <t>Seran, Rosegleam</t>
  </si>
  <si>
    <t>Lake trout covered in light beige or white spots all over its olive-grey body.</t>
  </si>
  <si>
    <t>Sunfish</t>
  </si>
  <si>
    <t>White Bream</t>
  </si>
  <si>
    <t>White Bream / Silver Bream generally inhabit the lower reaches of rivers as well as lakes and ponds with muddy bottoms and plenty of algae to feed on.</t>
  </si>
  <si>
    <t>Black Bream</t>
  </si>
  <si>
    <t>Rosegleam, Tidehaven</t>
  </si>
  <si>
    <t>4.5</t>
  </si>
  <si>
    <t>0.25</t>
  </si>
  <si>
    <t>0.75</t>
  </si>
  <si>
    <t>Ourea, Rosegleam</t>
  </si>
  <si>
    <t>A dark bronze estuarine bream with a deep body, known for its adaptability and strong fighting ability despite its modest size.</t>
  </si>
  <si>
    <t>A sleek silver bream with bright yellow fins, thriving in estuaries and coastal waters while feeding on small bottom-dwelling prey.</t>
  </si>
  <si>
    <t>Tarwhine Bream</t>
  </si>
  <si>
    <t>Two-bar Bream</t>
  </si>
  <si>
    <t>Brackish</t>
  </si>
  <si>
    <t>Seran, Tidehaven</t>
  </si>
  <si>
    <t>Two-bar Bream has an oval-shaped, deep, compressed body with a moderately fleshy-lipped, slightly protrusible mouth.</t>
  </si>
  <si>
    <t>Blue Bream</t>
  </si>
  <si>
    <t>A sleek silver-blue fish that travels in large schools through deep rivers and lakes, feeding on drifting insects and tiny aquatic prey.</t>
  </si>
  <si>
    <t>Vimba Bream</t>
  </si>
  <si>
    <t>Red Seabream</t>
  </si>
  <si>
    <t>The body is oblong and laterally flattened, with the jaws protruding slightly forward. The pectoral fins are long and slender, reaching nearly half of the total length.</t>
  </si>
  <si>
    <t>The gilt-head bream has a deep body, with a large, deep head which has its relatively small eyes placed high on the head. The diameter of the eyes is shorter than the length of the snout.</t>
  </si>
  <si>
    <t>Zebra Seabream</t>
  </si>
  <si>
    <t>1.25</t>
  </si>
  <si>
    <t>This fish has an oval shaped body which is deep and compressed with a moderately sharp snout and a thick lipped slightly protrusible mouth.</t>
  </si>
  <si>
    <t>Pumpkinseed</t>
  </si>
  <si>
    <t>0.4</t>
  </si>
  <si>
    <t>Pumpkinseeds have a body shaped much like a pumpkin seed with a vibrant orange, green, yellow, or blue body.</t>
  </si>
  <si>
    <t>Redear Sunfish</t>
  </si>
  <si>
    <t>0.2</t>
  </si>
  <si>
    <t>Also widely known as the shellcracker, this fish's main diet is snails. These fish meander along lakebeds, seeking and cracking open snails and other shelled creatures.</t>
  </si>
  <si>
    <t>Green Sunfish</t>
  </si>
  <si>
    <t>0.9</t>
  </si>
  <si>
    <t>Ourea, Tidehaven</t>
  </si>
  <si>
    <t>This fish is highly territorial and aggressive, local fishermen refered to its as a bullies of the water.</t>
  </si>
  <si>
    <t>Warmouth</t>
  </si>
  <si>
    <t>0.3</t>
  </si>
  <si>
    <t>The Warmouth is an aggressive and hardy fish that can survive in streams with low oxygen level.</t>
  </si>
  <si>
    <t>Redbreast Sunfish</t>
  </si>
  <si>
    <t>0.8</t>
  </si>
  <si>
    <t>Spring, Winter</t>
  </si>
  <si>
    <t>This fish becomes more aggressive when winter comes and striking almost anything that moving near them.</t>
  </si>
  <si>
    <t>Unlike any other sunfish, this fish feeds more near the surface of the water targeting insects, crustaceans and even young sunfish.</t>
  </si>
  <si>
    <t>Orangespotted Sunfish</t>
  </si>
  <si>
    <t>0.1</t>
  </si>
  <si>
    <t>0.6</t>
  </si>
  <si>
    <t>This fish prefers vegetated areas in sluggish backwaters or lakes, and can also be found in turbid rivers.</t>
  </si>
  <si>
    <t>Roundel Sunfish</t>
  </si>
  <si>
    <t>Its deep, rounded body is said to resemble the ancient roundel coins once traded across the continent before the dragons era.</t>
  </si>
  <si>
    <t>Pocket Sunfish</t>
  </si>
  <si>
    <t>A tiny fish that can fit into a fisherman's pocket, it has ten vertical stripes visible along its dark body.</t>
  </si>
  <si>
    <t>Channel Catfish</t>
  </si>
  <si>
    <t>Catfish</t>
  </si>
  <si>
    <t xml:space="preserve">This cafish can be found all over Endral's river and stream. </t>
  </si>
  <si>
    <t>Blue Catfish</t>
  </si>
  <si>
    <t>C</t>
  </si>
  <si>
    <t>Initial</t>
  </si>
  <si>
    <t>Weight Range</t>
  </si>
  <si>
    <t>Base Bite</t>
  </si>
  <si>
    <t>Base Escape</t>
  </si>
  <si>
    <t>Base Mutation</t>
  </si>
  <si>
    <t>UC</t>
  </si>
  <si>
    <t>R</t>
  </si>
  <si>
    <t>L</t>
  </si>
  <si>
    <t>M</t>
  </si>
  <si>
    <t>E</t>
  </si>
  <si>
    <t>Legendary</t>
  </si>
  <si>
    <t>Mythical</t>
  </si>
  <si>
    <t>Event</t>
  </si>
  <si>
    <t>1-1000</t>
  </si>
  <si>
    <t>Flathead Catfish</t>
  </si>
  <si>
    <t>8.5</t>
  </si>
  <si>
    <t>Walking Catfish</t>
  </si>
  <si>
    <t>7.2</t>
  </si>
  <si>
    <t>Dry</t>
  </si>
  <si>
    <t>Monsoon</t>
  </si>
  <si>
    <t>When the river dried out, this fish would "walk" around the river in wiggling motion to traverse the land.</t>
  </si>
  <si>
    <t>Bengawan Giant Catfish</t>
  </si>
  <si>
    <t>Spring, Monsoon</t>
  </si>
  <si>
    <t>In Ourea, they call this fish Iremia Giant Catfish. Known for its enormous size, its main diet is algae and aquatic vegetation.</t>
  </si>
  <si>
    <t>Redtail Catfish</t>
  </si>
  <si>
    <t>An ambush predator lurking beneath logs and rocks until unsuspecting prey fish get close.</t>
  </si>
  <si>
    <t>Hardhead Catfish</t>
  </si>
  <si>
    <t>Dry, Autumn</t>
  </si>
  <si>
    <t>0.45</t>
  </si>
  <si>
    <t>Hardhead catfish are generally regarded as an undesirable catch because of the risk associated with handling the venomous fish.</t>
  </si>
  <si>
    <t>Gafftopsail Catfish</t>
  </si>
  <si>
    <t>1.2</t>
  </si>
  <si>
    <t>The gafftopsail catfish is blue-grey to dark brown with a light grey belly. Its appearance is typical for a catfish except for the deeply forked tail and the venomous, serrated spines.</t>
  </si>
  <si>
    <t>Winter</t>
  </si>
  <si>
    <t>Swordhilt Sea Catfish</t>
  </si>
  <si>
    <t>A coastal catfish is recognized by the distinctive arrangement of bones beneath its head, forming a hilt of a sword structure.</t>
  </si>
  <si>
    <t>Monsoon, Winter</t>
  </si>
  <si>
    <t>Silverwhisker Sea Catfish</t>
  </si>
  <si>
    <t xml:space="preserve">A medium-sized coastal catfish with a silvery-gray body, long sensitive barbels, and sharp defensive spines. </t>
  </si>
  <si>
    <t>Giant Mudskipper</t>
  </si>
  <si>
    <t>Goby</t>
  </si>
  <si>
    <t>28.5</t>
  </si>
  <si>
    <t>A giant amphibious goby that prowls muddy shores and mangrove forests, skillfully walking on land and leaping between tidal pools in search of prey</t>
  </si>
  <si>
    <t>Archer</t>
  </si>
  <si>
    <t>Summer, Dry</t>
  </si>
  <si>
    <t>Known for its extraordinary marksmanship, the archerfish can accurately spit streams of water several body lengths to dislodge unsuspecting prey.</t>
  </si>
  <si>
    <t>Moony</t>
  </si>
  <si>
    <t>Tidehaven Moony</t>
  </si>
  <si>
    <t>Alligator Gar</t>
  </si>
  <si>
    <t>Gar</t>
  </si>
  <si>
    <t>The body of an alligator gar is torpedo-shaped, usually brown or olive colored, and occasionally black, fading to a lighter gray or yellow ventral surface.</t>
  </si>
  <si>
    <t>Silver Moony</t>
  </si>
  <si>
    <t>Knight Goby</t>
  </si>
  <si>
    <t>This goby has a speckled pattern and an armored look reminiscent of a chainmal worn by a knight.</t>
  </si>
  <si>
    <t>Dragon Goby</t>
  </si>
  <si>
    <t>Dragon Goby is said to be a baby water dragon in its infancy. This fish has a long, slender, eel-like body.</t>
  </si>
  <si>
    <t>Green Chromide</t>
  </si>
  <si>
    <t>Cichlid</t>
  </si>
  <si>
    <t>7.5</t>
  </si>
  <si>
    <t>It eats mainly aquatic plants, including filamentous algae and diatoms, but it consumes the occasional mollusk and other animal matter.</t>
  </si>
  <si>
    <t>Orange Chromide</t>
  </si>
  <si>
    <t>A vivid orange cichlid that thrives in brackish lagoons and estuaries, where it grazes on algae and hunts tiny aquatic creatures among submerged vegetation.</t>
  </si>
  <si>
    <t>Anemone</t>
  </si>
  <si>
    <t>Common Clownfish</t>
  </si>
  <si>
    <t>Summer, Winter</t>
  </si>
  <si>
    <t>The Common Clownfish has a stocky appearance and oval shape. It is compressed laterally, with a round profile.</t>
  </si>
  <si>
    <t>2.5</t>
  </si>
  <si>
    <t>The small beak-like mouth at the tip of the snout has fleshy lips. The eyes are set far back near the top of the head.</t>
  </si>
  <si>
    <t>Common Lionfish</t>
  </si>
  <si>
    <t>Scorpionfish</t>
  </si>
  <si>
    <t>1.3</t>
  </si>
  <si>
    <t>The fin spines are highly venomous and have caused death to humans in some reported cases. Despite this, a sting from this species is rarely fatal to humans.</t>
  </si>
  <si>
    <t>Dolphinfish</t>
  </si>
  <si>
    <t>King Mackerel</t>
  </si>
  <si>
    <t>Mackerel</t>
  </si>
  <si>
    <t>A swift ocean predator renowned for its speed and powerful runs. It patrols coastal waters in search of baitfish, making it a prized catch for fisherman.</t>
  </si>
  <si>
    <t>Common Dolphinfish</t>
  </si>
  <si>
    <t> Mature males have distinctive "foreheads"; it grows as the fish matures and often protrudes well above the body proper, which is streamlined by the musculature of the back</t>
  </si>
  <si>
    <t>Great Barracuda</t>
  </si>
  <si>
    <t>Barracuda</t>
  </si>
  <si>
    <t>They are voracious predators and hunt by ambush. They rely on surprise and short bursts of speed to overrun their prey, sacrificing maneuverability.</t>
  </si>
  <si>
    <t>Swordfish</t>
  </si>
  <si>
    <t>Billfish</t>
  </si>
  <si>
    <t>Swordfish can swim extremely fast; it is said that Swordfish will jumped out of the water and then attack the fishermen when threatened.</t>
  </si>
  <si>
    <t>A fast-growing filter feeder that cruises open freshwater, consuming microscopic plankton and occasionally leaping high above the surface when startled.</t>
  </si>
  <si>
    <t>Total</t>
  </si>
  <si>
    <t>Bait</t>
  </si>
  <si>
    <t>Rod</t>
  </si>
  <si>
    <t>1-10</t>
  </si>
  <si>
    <t>11-50</t>
  </si>
  <si>
    <t>51-200</t>
  </si>
  <si>
    <t>201-450</t>
  </si>
  <si>
    <t>451-1000</t>
  </si>
  <si>
    <t>Sailors around Tidehaven convinced Yew Tree to grow deep inside the swamp, but, because of the high concentration of mana there, it became the home of Teras.</t>
  </si>
  <si>
    <t>Local legend once claims a merman drowned a fisherman in the marsh. Others dismiss the tale, believing the sightings were caused by the soldiers secretly disposing of mages corpses.</t>
  </si>
  <si>
    <t>Count</t>
  </si>
  <si>
    <t>Value</t>
  </si>
  <si>
    <t>Prasinos Cutthroat Trout</t>
  </si>
  <si>
    <t>This trout only live on the creek. Prasinos have a purple coloration and have some black spot along their body</t>
  </si>
  <si>
    <t>Giant River Carp</t>
  </si>
  <si>
    <t>Hvitar Trout</t>
  </si>
  <si>
    <t>Yakad Trout</t>
  </si>
  <si>
    <t>Yakad Trout can be identified by its distinctive yellowish-gold color, with a golden belly. The top of its head and back are a dark olive color.</t>
  </si>
  <si>
    <t>Hvitar Trout have a yellow body, and their upper body covered with a numerous small dark spot</t>
  </si>
  <si>
    <t>A silvery schooling fish with a diamond-shaped body and striking black markings native to Tidehaven water.</t>
  </si>
  <si>
    <t>Mutation</t>
  </si>
  <si>
    <t>Northern Archerfish</t>
  </si>
  <si>
    <t>The largest of the archerfish, sporting a deeper body and irregular dark markings. Its powerful water jets and impressive size make it a formidable hunter of mangrove shores.</t>
  </si>
  <si>
    <t>Banded Archerfish</t>
  </si>
  <si>
    <t>Bumblebee Goby</t>
  </si>
  <si>
    <t>Seran, Rosegleam, Tidehaven</t>
  </si>
  <si>
    <t>A miniature goby known for its bold yellow-and-black stripes. Despite its small size, it is an active predator that patrols muddy bottoms and dense vegetation in search of tiny prey.</t>
  </si>
  <si>
    <t>Marble Goby</t>
  </si>
  <si>
    <t>It is a highly popular fish among rich families, said to be best eaten after a childbirth or Chirurgy.</t>
  </si>
  <si>
    <t>Blue Tilapia</t>
  </si>
  <si>
    <t>It grazes on algae and aquatic vegetation while readily adapting to new habitats, making it both abundant and highly resilient.</t>
  </si>
  <si>
    <t>Black Tilapia</t>
  </si>
  <si>
    <t>3.2</t>
  </si>
  <si>
    <t>0.7</t>
  </si>
  <si>
    <t>Summer,  Monsoon</t>
  </si>
  <si>
    <t>Hogchoker</t>
  </si>
  <si>
    <t>Flatfish</t>
  </si>
  <si>
    <t>Dry, Summer, Autumn</t>
  </si>
  <si>
    <t>The overall body of this fish color is often broken by a series of spots and thin stripes, which can be lighter or darker than the main body color.</t>
  </si>
  <si>
    <t>Four-eyed Fish</t>
  </si>
  <si>
    <t>Four Eyed</t>
  </si>
  <si>
    <t>Four-eyed fish have only two eyes, but the eyes are specially adapted for their surface-dwelling lifestyle.</t>
  </si>
  <si>
    <t>Needlefish</t>
  </si>
  <si>
    <t>Striped Bass</t>
  </si>
  <si>
    <t>Bass</t>
  </si>
  <si>
    <t>Spring, Autumn, Monsoon</t>
  </si>
  <si>
    <t>The Striped Bass has a streamlined, silvery body marked with longitudinal dark stripes running from behind the gills to the base of the tail.</t>
  </si>
  <si>
    <t>Summer Flounder</t>
  </si>
  <si>
    <t>This fish is called the chameleon of the sea because their ability to change color to blend in with their surrounding.</t>
  </si>
  <si>
    <t>Bluefin Tuna</t>
  </si>
  <si>
    <t>Tuna</t>
  </si>
  <si>
    <t>Their color is dark blue above and gray below, with a gold coruscation covering the body and bright yellow caudal finlets.</t>
  </si>
  <si>
    <t>Yellowfin Tuna</t>
  </si>
  <si>
    <t>Their body shape is particularly adapted for speed, enabling them to pursue and capture fast-moving baitfish, such as flying fish, sauries, and mackerel.</t>
  </si>
  <si>
    <t>Spiny Dogfish</t>
  </si>
  <si>
    <t>Shark</t>
  </si>
  <si>
    <t>Monsoon, Summer</t>
  </si>
  <si>
    <t>Sailfish</t>
  </si>
  <si>
    <t>Old sailors claim that they see Sailfish change colors when they get catch. Some people even said that was Sailfish way to communicate between them.</t>
  </si>
  <si>
    <t>Black Marlin</t>
  </si>
  <si>
    <t>One of the fastest fish known to sailors, this fish is said to be fast enough to leave a hole in a ship by swimming through it.</t>
  </si>
  <si>
    <t>Northern Pike</t>
  </si>
  <si>
    <t>Pike</t>
  </si>
  <si>
    <t>Northern pike are most often olive green, shading from yellow to white along the belly. The flank is marked with short, light bar-like spots and a few to many dark spots on the fins.</t>
  </si>
  <si>
    <t>Southern Pike</t>
  </si>
  <si>
    <t>Summer, Monsoon</t>
  </si>
  <si>
    <t>Muskie</t>
  </si>
  <si>
    <t>Muskies are the top predator in any body of water where they occur, and they will eat larger prey than most other freshwater fish.</t>
  </si>
  <si>
    <t>Redfin Pickerel</t>
  </si>
  <si>
    <t>Summer, Autumn, Dry</t>
  </si>
  <si>
    <t>The redfin pickerel is an ambush predator, lying in wait for unsuspecting prey animals to get within striking range.</t>
  </si>
  <si>
    <t>Walleye</t>
  </si>
  <si>
    <t>Perch</t>
  </si>
  <si>
    <t>12.5</t>
  </si>
  <si>
    <t>Sauger</t>
  </si>
  <si>
    <t>10.5</t>
  </si>
  <si>
    <t>Saugers generally move upstream to spawn during Autumn, depending on where they are. They move downstream to their home locations from Summer after their spawning period is over.</t>
  </si>
  <si>
    <t>Yellow Perch</t>
  </si>
  <si>
    <t>10.2</t>
  </si>
  <si>
    <t>The yellow perch has an elongate, laterally compressed body with a subterminal mouth and a relatively long but blunt snout, which is surpassed in length by the lower jaw.</t>
  </si>
  <si>
    <t>Pikeperch</t>
  </si>
  <si>
    <t>The Pikeperch is the largest member of the perch family. The upper part of its body is green-brown in colour, and this extends onto the sides as dark vertical bars.</t>
  </si>
  <si>
    <t>Ruffe</t>
  </si>
  <si>
    <t>5.2</t>
  </si>
  <si>
    <t>Milkfish</t>
  </si>
  <si>
    <t>The milkfish is an important seafood in Seran and some Ourea places. This fish is infamous for being much bonier than other food fishes.</t>
  </si>
  <si>
    <t>Mangrove Jack</t>
  </si>
  <si>
    <t>Snapper</t>
  </si>
  <si>
    <t>Autumn, Dry</t>
  </si>
  <si>
    <t>13.5</t>
  </si>
  <si>
    <t>2.3</t>
  </si>
  <si>
    <t>Coloration of the Mangrove Jack ranges from burnt orange to copper, to bronze, and dark reddish-brown, depending on its age and environment.</t>
  </si>
  <si>
    <t>Striped Mullet</t>
  </si>
  <si>
    <t>Mullet</t>
  </si>
  <si>
    <t>The back of the fish is olive-green, sides are silvery and shade to white towards the belly.</t>
  </si>
  <si>
    <t>Wrestling Halfbeak</t>
  </si>
  <si>
    <t>Halfbeak</t>
  </si>
  <si>
    <t>Wrestling halfbeaks are surface-feeding fish and feed on a variety of small invertebrates, including crustaceans and insect larvae.</t>
  </si>
  <si>
    <t>Longfin Tuna</t>
  </si>
  <si>
    <t>Bigeye Tuna</t>
  </si>
  <si>
    <t>Spring, Dry</t>
  </si>
  <si>
    <t>25.5</t>
  </si>
  <si>
    <t>Spring, Winter, Monsoon</t>
  </si>
  <si>
    <t>The eyes of bigeye tuna are well developed and with a large spherical lens allowing their vision to function well in low light conditions.</t>
  </si>
  <si>
    <t>Northern Red Snapper</t>
  </si>
  <si>
    <t>Spring, Summer, Dry</t>
  </si>
  <si>
    <t>They eat almost anything, but prefer small fish and crustaceans. They can be caught on both live and cut bait</t>
  </si>
  <si>
    <t>Redmouth Grouper</t>
  </si>
  <si>
    <t>Grouper</t>
  </si>
  <si>
    <t>The redmouth grouper is laterally compressed and oval-shaped with a relatively deep body, which is around half of the standard length, and a large head.</t>
  </si>
  <si>
    <t>Slender Grouper</t>
  </si>
  <si>
    <t>Summer, Autumn, Monsoon</t>
  </si>
  <si>
    <t>The slender grouper is a medium-sized fish with a head that occupies 40% of the total length, and the mouth is large.</t>
  </si>
  <si>
    <t>Masked Grouper</t>
  </si>
  <si>
    <t/>
  </si>
  <si>
    <t>9.5</t>
  </si>
  <si>
    <t>The masked grouper has an oblong, rather compressed body, with the gill cover having a central spine which is located at one-third of the gap between the lower and upper spines.</t>
  </si>
  <si>
    <t>Earthworm</t>
  </si>
  <si>
    <t>Cheese</t>
  </si>
  <si>
    <t>Nightcrawler</t>
  </si>
  <si>
    <t>Bloodworm</t>
  </si>
  <si>
    <t>Mealworm</t>
  </si>
  <si>
    <t>Beetle Grub</t>
  </si>
  <si>
    <t>Grasshopper</t>
  </si>
  <si>
    <t>Cricket</t>
  </si>
  <si>
    <t>Cicada</t>
  </si>
  <si>
    <t>Dragonfly Nymph</t>
  </si>
  <si>
    <t>Crayfish</t>
  </si>
  <si>
    <t>Pond Snail</t>
  </si>
  <si>
    <t>Mussel Meat</t>
  </si>
  <si>
    <t>Rice</t>
  </si>
  <si>
    <t>Sweet Corn</t>
  </si>
  <si>
    <t>Category</t>
  </si>
  <si>
    <t>Sandworm</t>
  </si>
  <si>
    <t>Crustacean</t>
  </si>
  <si>
    <t>River Shrimp</t>
  </si>
  <si>
    <t>Small Crab</t>
  </si>
  <si>
    <t>Prawn</t>
  </si>
  <si>
    <t>Larvae</t>
  </si>
  <si>
    <t>Water Beetle Larva</t>
  </si>
  <si>
    <t>Superworm</t>
  </si>
  <si>
    <t>Insect</t>
  </si>
  <si>
    <t>Locust</t>
  </si>
  <si>
    <t>Termite</t>
  </si>
  <si>
    <t>Mollusk</t>
  </si>
  <si>
    <t>Cockle Meat</t>
  </si>
  <si>
    <t>Oyster Meat</t>
  </si>
  <si>
    <t>Sardine</t>
  </si>
  <si>
    <t>Anchovy</t>
  </si>
  <si>
    <t>Juvenile Carp</t>
  </si>
  <si>
    <t>Juvenile Perch</t>
  </si>
  <si>
    <t>Meat</t>
  </si>
  <si>
    <t>Chicken Meat</t>
  </si>
  <si>
    <t>Pork Meat</t>
  </si>
  <si>
    <t>Beef Meat</t>
  </si>
  <si>
    <t>Chicken Heart</t>
  </si>
  <si>
    <t>Pork Intestine</t>
  </si>
  <si>
    <t>Cephalopods</t>
  </si>
  <si>
    <t>Squid Strip</t>
  </si>
  <si>
    <t>Cuttlefish Strip</t>
  </si>
  <si>
    <t>Octopus Strip</t>
  </si>
  <si>
    <t>Clam Meat</t>
  </si>
  <si>
    <t>Shrimp</t>
  </si>
  <si>
    <t>1,2,3</t>
  </si>
  <si>
    <t>Ragworm</t>
  </si>
  <si>
    <t>Produce</t>
  </si>
  <si>
    <t>The basic natural bait that attract wide range of bottom-feeding fish and omnivorous fish.</t>
  </si>
  <si>
    <t>A large and lively worm that attracts bigger fish looking for an easy prey because of its movement.</t>
  </si>
  <si>
    <t>A tough marine worm that attracts aggressive predators lives in brackish and seawater.</t>
  </si>
  <si>
    <t>Bright red larvae rich in nutrients, irresistible to many insect-eating and bottom-feeding fish.</t>
  </si>
  <si>
    <t>A worm living inside a sandy bottom is targeted by fish that forage on the bottom of the water.</t>
  </si>
  <si>
    <t>A type of crustacean favored by freshwater and brackish predators.</t>
  </si>
  <si>
    <t>A small crustacean, a highly sought-after fish not bothered by the shell.</t>
  </si>
  <si>
    <t>A large meaty crustacean, irresistible to omnivorous fish and predator alike.</t>
  </si>
  <si>
    <t>A small freshwater crustacean that attracts fish that hunting aquatic prey.</t>
  </si>
  <si>
    <t>A freshwater crustacean is highly effective in attracting large predatory fish lurking near the bottom.</t>
  </si>
  <si>
    <t>A soft-bodied larva packed with protein necessary to attracts insect lover fish.</t>
  </si>
  <si>
    <t>An aquatic insect larva is preyed upon by many freshwater fish.</t>
  </si>
  <si>
    <t>A wriggling larvae that appeals to fish hunting for food near the surface of the water.</t>
  </si>
  <si>
    <t>A juicy aquatic larva that is hunted by fish searching for underwater insects.</t>
  </si>
  <si>
    <t>A larger worm that attracts bigger insectivorous fish.</t>
  </si>
  <si>
    <t>A surface insect that draws attention from fish that are waiting for an insect to fall into the water.</t>
  </si>
  <si>
    <t>A lively insect that moves constantly, attracting opportunistic fish.</t>
  </si>
  <si>
    <t>A large insect offering a big meal for surface-feeding fish.</t>
  </si>
  <si>
    <t>A seasonal insect that fish loved, eagerly waiting for it to drop to water.</t>
  </si>
  <si>
    <t>A small insect is often consumed by a swarm of fish or a school of fish.</t>
  </si>
  <si>
    <t>Soft shellfish meat that has a strong scent that attracts bottom-feeding fish.</t>
  </si>
  <si>
    <t>A common freshwater mollusk that loves the taste of shelled animal.</t>
  </si>
  <si>
    <t>Tender clam meat that releases a scent, irresistible to bottom-feeding fish, even humans.</t>
  </si>
  <si>
    <t>A salty shellfish popular among brackish and coastal fish.</t>
  </si>
  <si>
    <t>Rich, oily meat that attracts fish relying on scent to locate their food.</t>
  </si>
  <si>
    <t>A live baitfish that attracts larger fish that are hunting small fish.</t>
  </si>
  <si>
    <t>An oily baitfish that produces a scent trail irresistible to marine predators.</t>
  </si>
  <si>
    <t>A small baitfish is attractive to schooling predators.</t>
  </si>
  <si>
    <t>A small carp that attracts larger freshwater predators.</t>
  </si>
  <si>
    <t>A natural prey for some large carnivorous fish.</t>
  </si>
  <si>
    <t>A chunk of meat whose strong scent is really effective to attracts scavenger and opportunistic predator fish.</t>
  </si>
  <si>
    <t>Fatty meat for an unusual fish that is not afraid to try anything new.</t>
  </si>
  <si>
    <t>Tender meat is used to attract omnivorous and predator fish alike.</t>
  </si>
  <si>
    <t>Dense and durable bait that stays on the hook even after being peck by predators.</t>
  </si>
  <si>
    <t>Tough, oily intestine that release strong scent to attract big predator.</t>
  </si>
  <si>
    <t>A simple bait to catch herbivorous and omnivorous fish.</t>
  </si>
  <si>
    <t>Soft and moldable bait commonly used for fish that feed on plants and grain matter.</t>
  </si>
  <si>
    <t>Attract curious omnivorous fish with its color and sweet scent.</t>
  </si>
  <si>
    <t>Small grain is occasionally eaten by fish lived near farm water.</t>
  </si>
  <si>
    <t>A pungent dairy bait whose rich aroma attracts omnivorous and scent-driven fish.</t>
  </si>
  <si>
    <t>Tough, chewy strip of flesh that stays on the hook attracting saltwater predators.</t>
  </si>
  <si>
    <t>Meaty strip of flesh with a rich scent, good for attracting marine predator.</t>
  </si>
  <si>
    <t>Firm flesh that is good for attracting powerful predator on the ocean.</t>
  </si>
  <si>
    <t>Bamboo Pole</t>
  </si>
  <si>
    <t>Willow Pole</t>
  </si>
  <si>
    <t>Hazel Pole</t>
  </si>
  <si>
    <t>Birch Rod</t>
  </si>
  <si>
    <t>Maple Rod</t>
  </si>
  <si>
    <t>Elm Rod</t>
  </si>
  <si>
    <t>Cedar Rod</t>
  </si>
  <si>
    <t>Juniper Rod</t>
  </si>
  <si>
    <t>Walnut Rod</t>
  </si>
  <si>
    <t>Ebony Rod</t>
  </si>
  <si>
    <t>Rosewood Rod</t>
  </si>
  <si>
    <t>Ironwood Rod</t>
  </si>
  <si>
    <t xml:space="preserve">Yew Wood Rod </t>
  </si>
  <si>
    <t>Dragonwood Rod</t>
  </si>
  <si>
    <t>Level</t>
  </si>
  <si>
    <t>Crimson Wood Rod</t>
  </si>
  <si>
    <t>The most basic fishing pole, perfect for a beginner who is learning the art of fishing. Lightweight and surprisingly durable.</t>
  </si>
  <si>
    <t>Made from a flexible willow wood, it bends easily under pressure, helping it from snapping.</t>
  </si>
  <si>
    <t>A sturdy pole, valued for its balance of strength and flexibility, making it a good choice for everyday uses.</t>
  </si>
  <si>
    <t>A lightweight rod with a smooth pole, offering improved handling during long periods of fishing trips.</t>
  </si>
  <si>
    <t>Carved from a hard maple wood, this well-balanced rod provides dependable control necessary to catch a big fish.</t>
  </si>
  <si>
    <t>Known for its durability and resistance to splitting, the elm rod can withstand repeated use even in more demanding conditions.</t>
  </si>
  <si>
    <t>Crafted from an aromatic cedar wood, this lightweight rod naturally resist moisture and decay making it ideal for fishing at a damp environment</t>
  </si>
  <si>
    <t>A finely crafted rod using walnut wood, this rod has an elegant appearance and dependable strength for catching larger fish.</t>
  </si>
  <si>
    <t>Made from resilient juniper wood, making it a great rod naturally resistant to the elements.</t>
  </si>
  <si>
    <t>Forged from a rare ebony wood, its dense wood structure provide remarkable strength while also showing a fancy dark finish.</t>
  </si>
  <si>
    <t>A beautifully crafted grained rod made from a premium rosewood found only on Rosegleam, with an exceptional craftmanship and reliable performance, its no wonder noble family prefer this type of rod.</t>
  </si>
  <si>
    <t>Constructed from a rare ironwood, native to the city of Ourea, this incredibly durable rod is built to withstand even the fiercest battle with a giant fish.</t>
  </si>
  <si>
    <t>Crafted from the legendary Yew tree, this rod is said to be able to catch even the Jormungard itself. With a beautiful finish and durable performance, this rod is a dream rod for Tidehaven fishermen.</t>
  </si>
  <si>
    <t>This rod was crafted using the mutated tree known as Dragonwood, the characteristic of the wood transfer over to the rod. Warm to the touch and easy to handle, this rod able to catch the biggest fish there is.</t>
  </si>
  <si>
    <t xml:space="preserve">Native to the woods of Seran forest, this crimson rod can withstand the harshest battle among the biggest fish in Endral. </t>
  </si>
  <si>
    <t>Reed Pole</t>
  </si>
  <si>
    <t>Ash Pole</t>
  </si>
  <si>
    <t>Hickory Pole</t>
  </si>
  <si>
    <t>Made from a resilient ash wood, this pole offers excellent durability and reliable performance in a variety of water.</t>
  </si>
  <si>
    <t>Pole that was crafted by bundling a bunch of reeds together. Lightweight rod that is easy to carry, but lacks power.</t>
  </si>
  <si>
    <t>Built from a dense hickory wood, this pole is favored by fishermen that trying to catch big predator fish.</t>
  </si>
  <si>
    <t>Evrys Estuary</t>
  </si>
  <si>
    <t>Said to be the place where Naiads give offerings to the god of the sea himself, Poseidon. Some even say this is the place where Poseidon mated with a Naiad named Chione.</t>
  </si>
  <si>
    <t>Seribu Arus Estuary</t>
  </si>
  <si>
    <t>It is said that a rich merchant's daughter drowned herself here and transformed into a white crocodile with the help of the lake spirit.</t>
  </si>
  <si>
    <t>Old sailors claim the river was formed by the saliva of Fenrir when it was bound by the gods. During heavy rain, the river will turn white, indicating that the Fenrir may still be alive somewhere along the river.</t>
  </si>
  <si>
    <t>Once upon a time, there was a giantess powerful enough to increase the Ormr River water to drown Thor.</t>
  </si>
  <si>
    <t>Roufíchtra Ocean</t>
  </si>
  <si>
    <t>The sea monster Charybdis is said to be living somewhere around this ocean, pulling the sea three times a day, creating a massive whirlpool.</t>
  </si>
  <si>
    <t>Purba Mangrove, Ægir Fjord, Evrys Estuary, Seribu Arus Estuary</t>
  </si>
  <si>
    <t>Ægir Fjord, Seribu Arus Estuary</t>
  </si>
  <si>
    <t>Purba Mangrove, Evrys Estuary</t>
  </si>
  <si>
    <t>Purba Mangrove, Ægir Fjord</t>
  </si>
  <si>
    <t>Evrys Estuary, Seribu Arus Estuary</t>
  </si>
  <si>
    <t>Purba Mangrove, Seribu Arus Estuary</t>
  </si>
  <si>
    <t>Purba mangrove, Ægir Fjord, Seribu Arus Estuary</t>
  </si>
  <si>
    <t>Purba mangrove, Ægir Fjord</t>
  </si>
  <si>
    <t>Purba mangrove, Ægir Fjord, Evrys Estuary, Seribu Arus Estuary</t>
  </si>
  <si>
    <t>Tanjung Seran Harbor, Gröfgarðr Shore, Sjókona Beach, Harma Ocean, Roufíchtra Ocean</t>
  </si>
  <si>
    <t>Tanjung Seran Harbor, Gröfgarðr Shore, Harma Ocean</t>
  </si>
  <si>
    <t>Tanjung Seran Harbor, Gröfgarðr Shore, Sjókona Beach, Harma Ocean</t>
  </si>
  <si>
    <t>Sjókona Beach, Harma Ocean</t>
  </si>
  <si>
    <t>Tanjung Seran Harbor, Gröfgarðr Shore, Sjókona Beach</t>
  </si>
  <si>
    <t>Tanjung Seran Harbor, Sjókona Beach, Harma Ocean</t>
  </si>
  <si>
    <t>Gröfgarðr Shore, Roufíchtra Ocean</t>
  </si>
  <si>
    <t>Gröfgarðr Shore, Harma Ocean</t>
  </si>
  <si>
    <t>Tanjung Seran Harbor, Harma Ocean</t>
  </si>
  <si>
    <t>Gröfgarðr Shore, Sjókona Beach,</t>
  </si>
  <si>
    <t>Gröfgarðr Shore, Sjókona Beach, Harma Ocean, Roufíchtra Ocean</t>
  </si>
  <si>
    <t>Tanjung Seran Harbor, Gröfgarðr Shore, Sjókona Beach, Roufíchtra Ocean</t>
  </si>
  <si>
    <t>Tanjung Seran Harbor, Gröfgarðr Shore, Harma Ocean, Roufíchtra Ocean</t>
  </si>
  <si>
    <t>Gröfgarðr Shore, Sjókona Beach</t>
  </si>
  <si>
    <t>Tanjung Seran Harbor, Harma Ocean, Roufíchtra Ocean</t>
  </si>
  <si>
    <t>Kaca Lake, Seribu Arus River</t>
  </si>
  <si>
    <t>Saint Luke Pond, Prince Kaiden Reservoir, Merman Marsh</t>
  </si>
  <si>
    <t>Astrafterí Lake, Telma Swamp, Theikos Spring, Evrys River</t>
  </si>
  <si>
    <t>Prince Kaiden Reservoir, Merman Marsh, Sofia River</t>
  </si>
  <si>
    <t>Vasikos Pond, Astrafteri Lake, Prasinos Creek, Telma Swamp, Evrys River, Iremia River, Saint Luke Pond, Prince Kaiden Reservoir, Merman Marsh, Sofia River, Kaca Lake, Seribu Arus River, Mentari Pond, Seroja Marsh, Mikil Hvitar Lake, Ormr River, Freyja River, Reyr Marsh</t>
  </si>
  <si>
    <t>Kaca Lake, Seribu Arus River, Mentari Pond, Seroja Marsh, Seroja Darah Swamp</t>
  </si>
  <si>
    <t>Evrys River, Iremia River, Sofia River, Seribu Arus River, Ormr River, Freyja River</t>
  </si>
  <si>
    <t>Astrafteri Lake, Prince Kaiden Reservoir, Kaca Lake, Batu Kawah Lake, Mikill Hvitar Lake</t>
  </si>
  <si>
    <t>Prasinos Creek, Theikos Spring, Wisp Swamp, Seribu Arus River, Ormr River, Freyja River</t>
  </si>
  <si>
    <t>Astrafteri Lake, Evrys River, Iremia River, Becket Cross Canal, Kaca Lake, Seribu Arus River, Seroja Marsh, Seroja Darah Swamp, Reyr Marsh</t>
  </si>
  <si>
    <t>Astrafterí Lake, Telma Swamp, Evrys River, Iremia River, Prince Kaiden Reservoir, Merman Marsh, Wisp Swamp, Becket Cross Canal, Seribu Arus River, Seroja Marsh, Batu Kawah Lake, Mikil Hvitar Lake, Yrvir Swamp</t>
  </si>
  <si>
    <t>Prince Kaiden Reservoir, Merman Marsh, Wisp Swamp, Becket Cross Canal, Ormr River, Freyja River, Jotunn Cave, Reyr Marsh, Yrvir Swamp</t>
  </si>
  <si>
    <t>Vasiko Pond, Prasinos Creek,, Telma Swamp, Theikos Spring, Evrys River, Iremia River, Saint Luke Pond, Prince Kaiden Reservoir, Merman Marsh, Wisp Swamp, Sofia River, Kaca Lake, Seribu Arus River, Mentari Pond, Seroja Marsh, Batu Kawah Lake, Seroja Darah Swamp, Mikill Hvitar Lake, Ormr River, Freyja River, Reyr Marsh, Yrvir Swamp</t>
  </si>
  <si>
    <t>Saint Luke Pond, Prince Kaiden Rservoir, Sofia River, Mikill Hvitar Lake, Freyja River, Jotunn Cave, Yrvir Swamp</t>
  </si>
  <si>
    <t>Astrafteri Lake, Telma Swamp, Theikos Spring, Ormr River, Freyja River, Reyr Marsh, Yrvir Swamp</t>
  </si>
  <si>
    <t>Prince Kaiden Reservoir, Sofia River, Yrvir Swamp</t>
  </si>
  <si>
    <t>Spring, Summer, Monsoon</t>
  </si>
  <si>
    <t>Astrafteri Lake, Iremia River, Kaca Lake, Seribu Arus River, Batu Kawah Lake, Seroja Darah Swamp</t>
  </si>
  <si>
    <t>Saint Luike Pond, Prince Kaiden Reservoir, Merman Marsh, Wisp Swamp, Sofia River, Becket Cross Canal, Mikill Hvitar Lake, Ormr River</t>
  </si>
  <si>
    <t>Astrafteri Lake, Evrys River, Freyja River, Jotunn Cave, Yrvir Swamp</t>
  </si>
  <si>
    <t>Spring, Autumn, Dry</t>
  </si>
  <si>
    <t>Mikill Hvitar Lake</t>
  </si>
  <si>
    <t>Astrafteri Lake, Evrys River, Iremia River, Prince Kaiden Reservoir, Sofia River, Kaca Lake, Seribu Arus River, Mikill Hvitar Lake, Ormr River, Freyja River</t>
  </si>
  <si>
    <t>Astrafteri Lake, Theikos Spring, Prince Kaiden Reservoir, Kaca Lake, Mikill Hvitar Lake</t>
  </si>
  <si>
    <t>Vasikos Pond, Prasinos Creek, Theikos Spring, Saint Luke Pond, Becket Cross Canal</t>
  </si>
  <si>
    <t>Prasinos Creek, Telma Swamp, Evrys River</t>
  </si>
  <si>
    <t>Seribu Arus River, Mentari Pond, Seroja Marsh</t>
  </si>
  <si>
    <t>Kaca Lake, Seroja Marsh, Batu Kawah Lake, Seroja Darah Swamp</t>
  </si>
  <si>
    <t>Mikill Hvitar Lake, Ormr River, Freyja River</t>
  </si>
  <si>
    <t>Jotunn Cave, Reyr Marsh, Yrvir Swamp</t>
  </si>
  <si>
    <t>Merman Marsh, Wisp Swamp, Seribu Arus River</t>
  </si>
  <si>
    <t>Seroja Marsh, Seroja Darah Swamp</t>
  </si>
  <si>
    <t>Merman Marsh, Wisp Swamp, Sofia River</t>
  </si>
  <si>
    <t>Telma Swamp, Evrys River, Wisp Swamp, Sofia River</t>
  </si>
  <si>
    <t>Saint Luke Pond, Prince Kaiden Reservoir, Mentari Pond, Batu Kawah Lake</t>
  </si>
  <si>
    <t>Prince Kaiden Reservoir, Becket Cross Canal</t>
  </si>
  <si>
    <t>Astrafteri Lake, Theikos Spring, Iremia River, Seribu Arus River, Batu Kawah Lake</t>
  </si>
  <si>
    <t>Saint Luke Pond, Prince Kaiden Reservoir, Kaca Lake, Mentari Pond</t>
  </si>
  <si>
    <t>Merman Marsh, Wisp Swamp, Jotunn Cave, Reyr Marsh, Yrvir Swamp</t>
  </si>
  <si>
    <t>Vasikos Pond, Astrafteri Lake, Telma Swamp, Iremia River, Kaca Lake, Seroja Marsh, Batu Kawah Lake</t>
  </si>
  <si>
    <t>Wisp Swamp, Sofia River, Kaca Lake, Seribu Arus River, Seroja Darah Swamp</t>
  </si>
  <si>
    <t>Prasinos Creek, Theikos Spring, Evrys River, Prince Kaiden Reservoir, Wisp Swamp, Becket Cross Canal</t>
  </si>
  <si>
    <t>Vasikos Pond, Telma Swamp, Saint Luke Pond, Becket Cross Canal, Mentari Pond, Mikill Hvitar Lake, Jotunn Cave</t>
  </si>
  <si>
    <t>Evrys River, Iremia River, Seribu Arus River</t>
  </si>
  <si>
    <t>Kaca Lake, Seroja Marsh, Batu Kawah Lake</t>
  </si>
  <si>
    <t>Merman Marsh, Wisp Swamp, Reyr Marsh, Yrvir Swamp</t>
  </si>
  <si>
    <t>Banded Scalefish</t>
  </si>
  <si>
    <t>Banded Flamefish</t>
  </si>
  <si>
    <t>Horned Archerfish</t>
  </si>
  <si>
    <t>1.7</t>
  </si>
  <si>
    <t>Northern Clawfish</t>
  </si>
  <si>
    <t>2.2</t>
  </si>
  <si>
    <t>Black-Scale Bream</t>
  </si>
  <si>
    <t>Mucus Bream</t>
  </si>
  <si>
    <t>Dagger Fang Bream</t>
  </si>
  <si>
    <t>A large bream with a dagger-sharp fang, because of this mutation, it became so aggressive that it would attack anything that moved in the water.</t>
  </si>
  <si>
    <t>A mutated archerfish with scales as hard as a rock to prevent predators from eating them.</t>
  </si>
  <si>
    <t>Its fin mutated to have a razor-sharp claw to penetrate the mouth of a fish unfortunate enough to eat it.</t>
  </si>
  <si>
    <t>The scale of this fish mutated to have a scale similar to a dragon's, but not as hard.</t>
  </si>
  <si>
    <t>Bream that hunt at night, using their faint glow to attract smaller fish to come closer.</t>
  </si>
  <si>
    <t>Helmet Catfish</t>
  </si>
  <si>
    <t>A catfish that has a head as hard as a soldier's helmet, designed to ram into prey.</t>
  </si>
  <si>
    <t>Chance</t>
  </si>
  <si>
    <t>Mana-Whiskered Catfish</t>
  </si>
  <si>
    <t>3.8</t>
  </si>
  <si>
    <t>Its whiskers can detect the slightest change in the water, making it extremely hard to catch.</t>
  </si>
  <si>
    <t>Venomous Catfish</t>
  </si>
  <si>
    <t>Scaleback</t>
  </si>
  <si>
    <t>Wingfin</t>
  </si>
  <si>
    <t>Elemental Traits</t>
  </si>
  <si>
    <t>Ember</t>
  </si>
  <si>
    <t>Frost</t>
  </si>
  <si>
    <t>Storm</t>
  </si>
  <si>
    <t>Venom</t>
  </si>
  <si>
    <t>Mana Traits</t>
  </si>
  <si>
    <t>Frenzied Chromide</t>
  </si>
  <si>
    <t>Blinded Chromide</t>
  </si>
  <si>
    <t>The eyes of this fish are cloudy, making it have terrible eyesight, but in return, the fish is incredible sensitive to mana fluctuation and changes in water.</t>
  </si>
  <si>
    <t>Loosejaw Chromide</t>
  </si>
  <si>
    <t>Giant Orange Chromide</t>
  </si>
  <si>
    <t>Scaly Tilapia</t>
  </si>
  <si>
    <t>Hookfin Tilapia</t>
  </si>
  <si>
    <t>Bladed Spine Tilapia</t>
  </si>
  <si>
    <t>3.5</t>
  </si>
  <si>
    <t>Its jaw can open so wide, it can swallow fish bigger than its body weight.</t>
  </si>
  <si>
    <t>This tilapia has a body temperature lower than the water around it; its body can cause frostbite if held too long.</t>
  </si>
  <si>
    <t>With its hooked fin, this fish hunts its prey by chasing it and slashing the prey before devouring it.</t>
  </si>
  <si>
    <t>Sandy Hogchoker</t>
  </si>
  <si>
    <t>This hogchoker can camouflage itself with the surrounding area, preferably sandy or muddy water.</t>
  </si>
  <si>
    <t>Six-eyed Fish</t>
  </si>
  <si>
    <t>Lightning-eyes Fish</t>
  </si>
  <si>
    <t>Its skin have a tiny needles on its skin, whenever something or someone even touches it, it will inject a deadly toxin that clogs the blood.</t>
  </si>
  <si>
    <t>Raksasa Mudskipper</t>
  </si>
  <si>
    <t>This giant fish evolves to be bigger because of continuous exposure to mana. It moved from a small crab to bigger and bigger prey.</t>
  </si>
  <si>
    <t>Sawtoothed Mudskipper</t>
  </si>
  <si>
    <t>Flaming Goby</t>
  </si>
  <si>
    <t>Poison-skin Goby</t>
  </si>
  <si>
    <t>Stonehide Goby</t>
  </si>
  <si>
    <t>9.2</t>
  </si>
  <si>
    <t>Soldier Goby</t>
  </si>
  <si>
    <t>Frostblood Tilapia</t>
  </si>
  <si>
    <t>Bloodeye Catfish</t>
  </si>
  <si>
    <t>Moonlit Bream</t>
  </si>
  <si>
    <t>Its tail fin becomes so venomous that its venom has claimed many careless fishermen.</t>
  </si>
  <si>
    <t>The skin of this goby is covered with a potent poison, one of the deadliest toxins among freshwater fish</t>
  </si>
  <si>
    <t>The extra pair of eyes made this fish have 360° eyesight. Its expanded field of vision allows it to detect predators and prey from almost any direction.</t>
  </si>
  <si>
    <t>Its scales become as hard as a rock, a hammer sometime need to be used to even descale it.</t>
  </si>
  <si>
    <t>Poison-ring Goby</t>
  </si>
  <si>
    <t>Antler Goby</t>
  </si>
  <si>
    <t>It has a large horn resembling a deer antler in front of its head, used to dig a hole and ram a predator that got too close.</t>
  </si>
  <si>
    <t>Mugwort Goby</t>
  </si>
  <si>
    <t>Gleaming Goby</t>
  </si>
  <si>
    <t>This white colored goby is an aggressive goby that will attack anything that it thinks would pose a threat to its territory.</t>
  </si>
  <si>
    <t>8.3</t>
  </si>
  <si>
    <t>12.3</t>
  </si>
  <si>
    <t>67.5</t>
  </si>
  <si>
    <t>Spear-jaw Halfbeak</t>
  </si>
  <si>
    <t>Its lower jaw evolved to become as sharp as a spear. It kills its prey by swimming really fast and impaling them, then slowly eating the prey when it is stuck on its jaw.</t>
  </si>
  <si>
    <t>Charred Halfbeak</t>
  </si>
  <si>
    <t>Mana contamination is slowly making its body decay from within. The charred flesh began to peel from its body and detach; it instinctively fed on its own rotting flesh, delaying its inevitable death.</t>
  </si>
  <si>
    <t>Butterfish</t>
  </si>
  <si>
    <t>Cheesefish</t>
  </si>
  <si>
    <t>The flesh of this fish emits a pungent odor resembling aged cheese. The smell attracts smaller school fish, providing it with an endless supply of prey, but the downside, it also draws a bigger predator to its location.</t>
  </si>
  <si>
    <t>A highly prized fish among the nobles of Rosegleam, this fish is believed to ease chronic pain and restore vitality. While some nobles reported positive changes in their body, the long-term effects remain poorly understood, as few people can even afford to eat it.</t>
  </si>
  <si>
    <t>Hog Moony</t>
  </si>
  <si>
    <t>Steamgill Moony</t>
  </si>
  <si>
    <t>A schooling fish that releases a hot steam out of their gill to deter predators that come close to it. When the predator gets confused, it will bolt out and escape.</t>
  </si>
  <si>
    <t>Radiance Moony</t>
  </si>
  <si>
    <t>The mana inside this fish makes its scent sensory go into overdrive; it can no longer detect prey or predator, and they will attack anything that they can smell.</t>
  </si>
  <si>
    <t>Bladedfin Moony</t>
  </si>
  <si>
    <t>Its fin evolves into a sharp blade like a knife. This fish surrounds its prey and slowly slashes them, and eats the chunks that fly out.</t>
  </si>
  <si>
    <t>1.6</t>
  </si>
  <si>
    <t>Fireblood Mullet</t>
  </si>
  <si>
    <t>Paunch Mullet</t>
  </si>
  <si>
    <t>Its brain has been manipulated so much by mana that it can't feel full anymore, it will keep eating until its belly bursts.</t>
  </si>
  <si>
    <t>Rapierfish</t>
  </si>
  <si>
    <t>Leaping Needlefish</t>
  </si>
  <si>
    <t>This fish has a behaviour of jumping into the air to hunt small birds that get too close to the surface of the water. Because of this, fishermen sometimes get hurt because of their sharp fin.</t>
  </si>
  <si>
    <t>4.6</t>
  </si>
  <si>
    <t>Giant Mangrove Jack</t>
  </si>
  <si>
    <t>Megamouth Jack</t>
  </si>
  <si>
    <t>This fish evolved to eat almost nothing but plankton, but they occasionally eat smaller fish that got suck by their mouth too.</t>
  </si>
  <si>
    <t>Whiptail Bream</t>
  </si>
  <si>
    <t>Bronze-skin Bream</t>
  </si>
  <si>
    <t>Its skin becomes hard as bronze; some smiths even use it as an alternative to real bronze. But, this fish skin is thinner than bronze, making the tools that use the skin easier to break.</t>
  </si>
  <si>
    <t>An archerfish that shoots hot water to hunt, mana allows it to superheat the water inside its mouth before shooting it.</t>
  </si>
  <si>
    <t>Horned Archerfish uses its horn to defend itself and as a way to attract the female</t>
  </si>
  <si>
    <t>A mucus-covered bream makes its body sleek and slippery; it has a foul taste that discourage predators from eating it.</t>
  </si>
  <si>
    <t>This fish became so big because of mana circulating through its body; it has also become carnivorous.</t>
  </si>
  <si>
    <t>This fish evolves to have harder scales; its hardened scales protect it from larger predators while also reflecting sunlight with a metallic sheen.</t>
  </si>
  <si>
    <t>This fish swam so fast, its explosive burst of speed makes it nearly impossible to follow with the naked eye.</t>
  </si>
  <si>
    <t>The territorial behaviour of this fish became so intense that it will relentlessly patrol and defend their territory no matter how big the predators are.</t>
  </si>
  <si>
    <t>At first glance, this goby doesn't seem dangerous, but it has one of the deadliest poisons surrounding the body.</t>
  </si>
  <si>
    <t>The flesh of this fish has been altered by mana, making it unusually rich and buttery. Despite its tender meat, its behavior is nothing but aggressive; it will attack anything that even comes too close to its territory.</t>
  </si>
  <si>
    <t>This fish can generate light by manipulating mana inside of them when they feel threatened and hunting. They will surround their prey and then eat them when paralyzed.</t>
  </si>
  <si>
    <t>The blood inside this fish is warmer than the surrounding water, which enables it to move even in a colder environment without any troubles.</t>
  </si>
  <si>
    <t>The tail elongated into a whip-like appendage that provided excellent maneuverability, allowing it to make a sudden change in its trajectory while chasing prey or escaping from predators.</t>
  </si>
  <si>
    <t>The jaw of this fish has evolved into a sharp point when their mouth closes, usually used by them to fight predators and their own kind for territory.</t>
  </si>
  <si>
    <t>Mana exposure causes this fish to grow bigger and bigger; the more condensed the mana around their habitat, the bigger it gets.</t>
  </si>
  <si>
    <t>Rock-body Bream</t>
  </si>
  <si>
    <t>Mana inside its body makes this fish's body hard as a rock; not only that, their body also weighs as heavy as a rock, which makes the fish almost incapable of swimming for too long.</t>
  </si>
  <si>
    <t>Trance Bream</t>
  </si>
  <si>
    <t>Chirping Bream</t>
  </si>
  <si>
    <t>This mudskipper use it tooth to saw into the roots of a tree near the water, eating the root bit by bit.</t>
  </si>
  <si>
    <t>This goby can raise its body temperature enough to scald nearby predators that dare to bite it.</t>
  </si>
  <si>
    <t>Fishermen claim that at night, Nøkken will make a chirping sound to lure them into deeper water, until one day a scholar catches a fish that continues to chirp even when out of the water.</t>
  </si>
  <si>
    <t>Sharkfin Bream</t>
  </si>
  <si>
    <t>Icy Blue Bream</t>
  </si>
  <si>
    <t>4.9</t>
  </si>
  <si>
    <t>This carp can open its mouth so wide that it almost eats almost all its prey whole. Because of this, its mouth sometimes gets ripped from overextension.</t>
  </si>
  <si>
    <t>Widemouth Carp</t>
  </si>
  <si>
    <t>45.5</t>
  </si>
  <si>
    <t>42.5</t>
  </si>
  <si>
    <t>Glowing Heart Carp</t>
  </si>
  <si>
    <t>Mana circulation made this carp's heart glow, it makes hunting at night easier and harder to escaping the predators.</t>
  </si>
  <si>
    <t>Hairy Grass Carp</t>
  </si>
  <si>
    <t xml:space="preserve">Hair like thorns covered this carp's body, which helped the carp to camouflage itself between the grass or algae below the water. </t>
  </si>
  <si>
    <t>Glassbone Carp</t>
  </si>
  <si>
    <t>The bone in this carp is so brittle that even the lightest drop will break all of its bones. It makes this carp swim so slowly and become more passive.</t>
  </si>
  <si>
    <t>Exposure to mana makes this fish unable to swim sometimes, and the older it gets, the weirder its behavior. Some fishermen even claim that they saw some fish come to the surface and remain motionless for hours.</t>
  </si>
  <si>
    <t>Mentari Pond, Seribu Arus River, Saint Luke Pond, Merman Marsh, Wisp Swamp, Sofia River</t>
  </si>
  <si>
    <t>Stone Carp</t>
  </si>
  <si>
    <t>Jumping Mud Carp</t>
  </si>
  <si>
    <t>Arrow Carp</t>
  </si>
  <si>
    <t>Fanged Carp</t>
  </si>
  <si>
    <t>Its mouth is covered with a lot of sharp teeth, and it can even chew through the wood of the boat that fishermen use.</t>
  </si>
  <si>
    <t>Twin Horned Carp</t>
  </si>
  <si>
    <t>Sailtail Carp</t>
  </si>
  <si>
    <t>This fish has a lower body temperature than other fish, making it sluggish in colder water; even in warmer water, it will move slowly.</t>
  </si>
  <si>
    <t>Obsidian Carp</t>
  </si>
  <si>
    <t>Overgrown Carp</t>
  </si>
  <si>
    <t>Humphead Carp</t>
  </si>
  <si>
    <t>Insatiable Carp</t>
  </si>
  <si>
    <t>Monstrous Carp</t>
  </si>
  <si>
    <t>A tale in a nearby village tells a story of boogeymen snatching and gobbling up children whenever they go to murky water. Some scholars suggested that maybe this fish is the one responsible for the missing children.</t>
  </si>
  <si>
    <t>Dwarf Carp</t>
  </si>
  <si>
    <t>Rat Carp</t>
  </si>
  <si>
    <t>This fish got its name for its reproductive capability; the mana circulation makes this fish have a high sexual reproductivity and keeps reproducing.</t>
  </si>
  <si>
    <t>Scarred Carp</t>
  </si>
  <si>
    <t>Gillless Carp</t>
  </si>
  <si>
    <t>Scholars can't seem to agree about how this fish even breathes; some suggest that maybe it breathes through its mouth, while others argue that maybe it uses their skin to breathe.</t>
  </si>
  <si>
    <t>This voracious fish will eat anything that they can, whether it is fish, shellfish, or even an insect that has drowned until its die.</t>
  </si>
  <si>
    <t>Snow Carp</t>
  </si>
  <si>
    <t>Serpentine Catfish</t>
  </si>
  <si>
    <t>Thunder Catfish</t>
  </si>
  <si>
    <t>The head of this fish becomes so big that it will block its eyes, and the inside of the hump is filled with mucus and water.</t>
  </si>
  <si>
    <t>Bone Plate Catfish</t>
  </si>
  <si>
    <t>Bone plates occasionally grow on its body, protecting it from predator attack. This bone can be fetched for a high price, mostly used for a shield by a smith.</t>
  </si>
  <si>
    <t>Hunter Catfish</t>
  </si>
  <si>
    <t>This catfish is infamous for its persistent of chasing its prey. Fishermen claim that this catfish will chase its prey even after its prey has already been brought to the boat.</t>
  </si>
  <si>
    <t>The fins have been reinforced by mana, allowing this carp to support its entire body out of the water and move from one body of water to another.</t>
  </si>
  <si>
    <t>This carp leaps out of the water whenever it gets startled, the mana inside its body making it hyper aware.</t>
  </si>
  <si>
    <t>Scholars speculate that this type of mana-evolve carp will not stop growing as long as it keeps eating. No specimen has ever shown signs of maturity.</t>
  </si>
  <si>
    <t>Its skin glows magnificently under the moonlight, and when underwater, this fish is nearly invisible beneath the moonlit surface, making it a great predator.</t>
  </si>
  <si>
    <t>The pattern on its body is a sign of mana constantly escape though its body; the excessive mana inside its body prevent its to swim.</t>
  </si>
  <si>
    <t>This carp gets really active when the temperature gets low enough to have snow; when the temperature gets high, it usually stops hunting and becomes almost dormant.</t>
  </si>
  <si>
    <t>Its serpentine-like body sometime get mistaken for a river serpent; It even behaves like one, swallowing its prey whole, even if the fish is big.</t>
  </si>
  <si>
    <t>The food that gets inside this fish becomes fuel for the mana reservoir rather than its body, making its body smaller over time.</t>
  </si>
  <si>
    <t>Scholars believe this catfish can shock their prey using a specialized organ that stores mana and releases that mana as a thunderbolt-like jolt. But, after dissection, no such organ has been identified to have that kind of function.</t>
  </si>
  <si>
    <t>Scholars are still unsure how the fish covers itself and rolls into a ball during droughts, and some even suggest that the carp uses mana to cover itself.</t>
  </si>
  <si>
    <t>Its streamlined body has evolved into something akin to an arrow, allowing it to swim so fast, even against a strong current.</t>
  </si>
  <si>
    <t>Lapis Lazuli Catfish</t>
  </si>
  <si>
    <t>Swift Catfish</t>
  </si>
  <si>
    <t>Shovelhead Catfish</t>
  </si>
  <si>
    <t>Monsoon, Summer, Autumn</t>
  </si>
  <si>
    <t>Log Catfish</t>
  </si>
  <si>
    <t>Its body evolved to resemble a dead log underwater, allowing it to camouflage itself better when hunting or hiding from larger predators.</t>
  </si>
  <si>
    <t>Hopping Catfish</t>
  </si>
  <si>
    <t>Long exposure of mana makes the head of this fish resemble a shovel; many scholar confused about why the head of this fish evolved into that shape in the first place.</t>
  </si>
  <si>
    <t>The catfish can be seen hopping around the mud-covered water when the drought arrived. Scholars alike theorize that maybe a mutation caused this catfish to be able to hop using mana stored inside its body.</t>
  </si>
  <si>
    <t>Contrary to its appearance, this fish is a herbivore; its teeth are specialized in cutting tough roots underwater and some other underwater plants.</t>
  </si>
  <si>
    <t>Blazingtail Catfish</t>
  </si>
  <si>
    <t>This catfish's tail will glow red, and it will use the tail as a hammer to attack its attacker. The tail can easily burn the attacker if not immediately swatted away.</t>
  </si>
  <si>
    <t>Tailless Catfish</t>
  </si>
  <si>
    <t>Double-jaw Gar</t>
  </si>
  <si>
    <t>When this fish hunt their prey, it will chase it and bite it using the second set of jaws inside its throat. It will grab the prey and slowly swallow it using its main mouth.</t>
  </si>
  <si>
    <t>Shedding Gar</t>
  </si>
  <si>
    <t>Scales from this gar will constantly shed due to mana leaking everywhere from its body, making it vulnerable to all parasites and infections.</t>
  </si>
  <si>
    <t>Numerous Eyes</t>
  </si>
  <si>
    <t>This fish usually avoids bright light because of their sensitive eyes, but because of the mana mutation, this fish will charge toward the light source and attack it relentlessly.</t>
  </si>
  <si>
    <t>Eyes will continuously "grow" on its body aggressively, like a parasite; it will make this fish confused because of the numerous vision at once.</t>
  </si>
  <si>
    <t>Barkhide Sauger</t>
  </si>
  <si>
    <t>3.7</t>
  </si>
  <si>
    <t>The scales of this fish look like the bark of a tree; it uses this for camouflage when it was hunting underwater.</t>
  </si>
  <si>
    <t>Caniballistic Sauger</t>
  </si>
  <si>
    <t>4.2</t>
  </si>
  <si>
    <t>Fishermen claim that this fish is always searching for its own kind to prey on; it rarely eats other fish and only attack their own kind.</t>
  </si>
  <si>
    <t>Rock-eating Perch</t>
  </si>
  <si>
    <t>The older this fish gets, the more it will keep eating rock out of the bottom of the river. Scholars suggest that because of the mutation, this fish cannot differentiate between prey and rock anymore.</t>
  </si>
  <si>
    <t>Needle-spine Perch</t>
  </si>
  <si>
    <t>11.2</t>
  </si>
  <si>
    <t>Scythe-tail Perch</t>
  </si>
  <si>
    <t>1.4</t>
  </si>
  <si>
    <t>The curved tail of this fish makes it look like a scythe; the tail is also hard like a rock, making it a main weapon for the fish to attack predators or prey.</t>
  </si>
  <si>
    <t>Apple Perch</t>
  </si>
  <si>
    <t>In Seran, this fish is extremely popular due to the meat tasting like a fresh apple; they love it so much, the rich are even ready to pay anyone handsomely for it.</t>
  </si>
  <si>
    <t>The mana made this fish go into a frenzy whenever it smelled blood from the water, attacking everthing near the blood.</t>
  </si>
  <si>
    <t>This catfish has a red eye that enables it to see exceptionally well in a low-light area. Fishermen usually save its eyes for luck.</t>
  </si>
  <si>
    <t>Pearl Ruffe</t>
  </si>
  <si>
    <t>4.7</t>
  </si>
  <si>
    <t>A large, round rock resembling a pearl is growing below its head; this pearl is considered among scholars as a disease, because the bigger the rock, the thinner the fish is.</t>
  </si>
  <si>
    <t>Fishermen around Ourea claim that this fish moves abnormally when they hunt; they claim that tiny bubbles will come out of its gill and suddenly lunge forward violently without any extra movement from their tail.</t>
  </si>
  <si>
    <t>Its brilliant blue color makes this catfish a symbol of wealth among the rich families in Ourea, but because of the aggressive behavior of this fish, whenever there are two at the same time, they will attack each other.</t>
  </si>
  <si>
    <t>Its tail has gradually been consumed by the mana inside of it, making this fish unable to swim altogether and slowly die of hunger and predation.</t>
  </si>
  <si>
    <t>Frenzied Walleye</t>
  </si>
  <si>
    <t>This type of ruffe almost always attacks others because of its aggressive tendency to attack anything that is near it, making it never rest peacefully.</t>
  </si>
  <si>
    <t>Frenzied Ruffe</t>
  </si>
  <si>
    <t>Mana reinforced its upper fin until it hardened into a blade-like fin. This fish can sometimes be seen fighting with another species for territory.</t>
  </si>
  <si>
    <t>The upper fin of this bream becomes hard, almost like a shark fin, making it excel at sudden turn when swimming from predators.</t>
  </si>
  <si>
    <t>The upper fin grows until the end of its tail. This sail-like upper fin is used to make a barrier when it circles the fish.</t>
  </si>
  <si>
    <t>The most common tilapia in Endral, it has a long upper fins, the front part of which have spines.</t>
  </si>
  <si>
    <t>This fish has a bright, shiny silver color with yellowish edges to the fins, and the upper and anal fins have black tips.</t>
  </si>
  <si>
    <t>Needlefish are slender and have a single upper fin. Their most distinctive feature is their long, narrow beak, which bears multiple sharp teeth.</t>
  </si>
  <si>
    <t>This fish is a deep bluish-green on the upper surface, and silvery along the flanks. The eyes are yellow, and the pectoral and pelvic fins have reddish-yellow bases.</t>
  </si>
  <si>
    <t>Blue Catfish are often misidentified as Channel Catfish, the difference are the heavy bodied, blueish gray in color, and a upper hump.</t>
  </si>
  <si>
    <t>These colorful large catfishes have a brownish back, with yellow sides, and characteristic orange-red upper fin and caudal fin</t>
  </si>
  <si>
    <t>Walleyes are largely olive and gold in color. The upper side of a walleye is olive, grading into a golden hue on the flanks.</t>
  </si>
  <si>
    <t>It is a very aggressive fish for its size. The ruffe also has a large, spiny upper fin which is likely distasteful to its predators</t>
  </si>
  <si>
    <t>Spiny Dogfish is distinguished by two spines (one anterior to each upper fin) and no anal fin. It lives in shallow waters and further offshore in most parts of the world, especially in temperate waters.</t>
  </si>
  <si>
    <t>Night Hunter Pike</t>
  </si>
  <si>
    <t>This pike becomes more active at night than during the day; scholars theorize that the fish's perception of time is flipped by how they behave.</t>
  </si>
  <si>
    <t>Violet Pike</t>
  </si>
  <si>
    <t>Its upper fin grows some needle-like bones on it, making it extra sharp. It uses this new bone to find a mate and defend itself from predators trying to eat it.</t>
  </si>
  <si>
    <t>Scholars from Ourea noted that the Violet Pike became thinner the brighter their purple coloration is, suggesting that maybe the mana mutation makes this pike sick.</t>
  </si>
  <si>
    <t>The southern pike has a distinctive, dark, chain-like pattern on its greenish sides. There is a vertical dark marking underneath the eye</t>
  </si>
  <si>
    <t>Pickaxe Pike</t>
  </si>
  <si>
    <t>A hard protruding bone grows on the base of this fish's lower jaw, making it look like a pick. Scholars suggest that this bone is used to pick on a mollusk's hard shell.</t>
  </si>
  <si>
    <t>Double-headed Pike</t>
  </si>
  <si>
    <t>5.7</t>
  </si>
  <si>
    <t>Records from Tidehaven mention that this type of pike is born when its male parent undergoes some kind of mutation when fertilization of eggs happens, making it mutate into having two heads in one body.</t>
  </si>
  <si>
    <t>Saber Pike</t>
  </si>
  <si>
    <t>A large fang-like tooth can be seen protruding from its mouth. This fang made any prey that had been captured by the pike die almost instantly.</t>
  </si>
  <si>
    <t>Elusive Pike</t>
  </si>
  <si>
    <t>Fiery Red Pickerel</t>
  </si>
  <si>
    <t>1.8</t>
  </si>
  <si>
    <t xml:space="preserve">The entire body of this pickerel has a bright red coloration, making it easy to be spotted by fishermen and predators alike. </t>
  </si>
  <si>
    <t>Skull-less Pickerel</t>
  </si>
  <si>
    <t>The top of the head of this fish is gone, and little fish and small aquatic animals can be seen eating its brain when the pickerel is still alive. Scholars around Endral cannot seem to understand how the pickerel is even alive after the mutation made its top head disappear.</t>
  </si>
  <si>
    <t>Rabbit-ear Fish</t>
  </si>
  <si>
    <t>The "ear" behind the gill of this fish mutates to become so long that it almost looks like a rabbit's ear. This ear is presumably used to detect slight changes in the water.</t>
  </si>
  <si>
    <t>Bulging Bluegill</t>
  </si>
  <si>
    <t>A bulging mass can be found on its body; this mass contains a lot of flesh from the fish itself. Scholars think that this bulging mass "eats" all the nutrients that the fish consume and continously grow.</t>
  </si>
  <si>
    <t>Seed Scale Fish</t>
  </si>
  <si>
    <t>A seed size scale grows irregulary through out is body. This "seed" can be eaten just like a pumpkin seed would when cooked properly.</t>
  </si>
  <si>
    <t>Long-ear Sunfish</t>
  </si>
  <si>
    <t>Spear-tongue Fish</t>
  </si>
  <si>
    <t>A spear-like tongue can be located in the fish's mouth; the fish uses this tongue to skewer its prey and eat it whole. This fish also uses its tongue to fight for its territory and scare off predators.</t>
  </si>
  <si>
    <t>Moss Sunfish</t>
  </si>
  <si>
    <t>A moss covered the entire body of this fish. Whenever prey comes close to eat the moss on its body, it will ambush it and eat it instead.</t>
  </si>
  <si>
    <t>Bearded Sunfish</t>
  </si>
  <si>
    <t>A reed-like plant grows from its gill, almost covering it entirely. This "plant" is used by the fish to attract plant-eating fish to be its prey.</t>
  </si>
  <si>
    <t>Schooling Sunfish</t>
  </si>
  <si>
    <t>Mutations make this fish change its behavior and start to hunt in packs; they will surround its prey and started to eat them bit by bit.</t>
  </si>
  <si>
    <t>The Sunfish</t>
  </si>
  <si>
    <t>The glow from this small fish is considered to be a glow of the sun itself. This fish only glows when it feels threatened, but people from Rosegleam thought this a good premonition about the incoming weather.</t>
  </si>
  <si>
    <t>Sailfin Sunfish</t>
  </si>
  <si>
    <t>Fan-ear Sunfish</t>
  </si>
  <si>
    <t>A fin grows from the top of its head until it's connected to the tail behind, making it look like the sail of a ship. This makes the fish able to maneuver around the water expertly.</t>
  </si>
  <si>
    <t>The "ear" from this fish grows so big that it almost covers its gill; this "ear" is used by the fish to create a water current that cleans the surrounding area for its home.</t>
  </si>
  <si>
    <t>Slit-Mouthed Fish</t>
  </si>
  <si>
    <t>This aggressive fish can open its mouth so wide that it will break their cheek just to swallow their prey whole. This gesture will make the wound infected and make this fish sick and eventually die.</t>
  </si>
  <si>
    <t>Strawberry Fish</t>
  </si>
  <si>
    <t>A small bump can be felt around its body like the skin of a strawberry; the flesh is vivid crimson red and smells like a ripe strawberry. But, scholars said that the flesh of this fish is contaminated with a lot of parasites, making this fish's flesh inedible.</t>
  </si>
  <si>
    <t>Fishermen all around Tidehaven and Rosegleam tell a tale of this fish because of how hard it is to even see one in real life. Even if fishermen manage to hook this fish, very few have managed to land one.</t>
  </si>
  <si>
    <t>Frostbreast Sunfish</t>
  </si>
  <si>
    <t>Sting Sunfish</t>
  </si>
  <si>
    <t>A tiny, rigid hair grows on its breast; this tiny hair can make whoever touches it breast area have an immediate burning sensation on their hand, followed by itching sensation.</t>
  </si>
  <si>
    <t>Paddle-ear Sunfish</t>
  </si>
  <si>
    <t>Mana evolving this fish's ear into a paddle-like shape, the ear is used to help the fish move faster.</t>
  </si>
  <si>
    <t>Hooded Sunfish</t>
  </si>
  <si>
    <t>Its ear evolves and connects to the other end of the ear, making it resemble a hood on top of its head. Nobody knows the uses of the hood; some speculate that it prevents mana leakage, and others claim that it was something to attract the female.</t>
  </si>
  <si>
    <t>Gleaming Sunfish</t>
  </si>
  <si>
    <t>Its body reflects light and makes predators confused by its position. This ability to reflect light makes the scale of this fish very valuable, usually made into a mirror for the nobles.</t>
  </si>
  <si>
    <t>Rainbow Sunfish</t>
  </si>
  <si>
    <t>The sunfish scales got their colors from the mana inside of them, making them have almost all the colors in the rainbow. Some merchants will make an accessory using their scales and sell it for a valuable price.</t>
  </si>
  <si>
    <t>Shield Sunfish</t>
  </si>
  <si>
    <t>The shape of this fish closely resembles a heater shield, even though its body or even scale is not as hard as a shield.</t>
  </si>
  <si>
    <t>Crab-eyes Sunfish</t>
  </si>
  <si>
    <t>This fish's eyes become protruding like a crab's eyes; it comes out of its socket and can rotate 360°. Some scholars think that it uses its eyes to check the surrounding area for food.</t>
  </si>
  <si>
    <t>Crystal Trout</t>
  </si>
  <si>
    <t>The scale of this fish gleams under the sunlight, but because of this, the scale is really brittle and really easy to break; just a scrape of a knife will make the scale break and be removed.</t>
  </si>
  <si>
    <t>Fish-sack Trout</t>
  </si>
  <si>
    <t>When this trout was in an alevin stage, it did not absorb the yolk and continued to grow with it, making it an emergency food source. Because of this, a lot of predators are attracted to the yolk and hunt them.</t>
  </si>
  <si>
    <t>Spike Trout</t>
  </si>
  <si>
    <t>A spike grows all over its body where the black spots are supposed to be; the spike protected the trout from all predators trying to eat it.</t>
  </si>
  <si>
    <t>Ice Digger Trout</t>
  </si>
  <si>
    <t>The tip of its mouth is hard like a bone. Scholars suggest that this tip is used by the fish to dig into the ice, and when inside the ice, it will make the surrounding ice melt using heat from mana.</t>
  </si>
  <si>
    <t>Orchid Trout</t>
  </si>
  <si>
    <t>The gill of this fish can be spread open and scare off predators that come too close, and this gill has been speculated to be a mating ritual.</t>
  </si>
  <si>
    <t>Dried Trout</t>
  </si>
  <si>
    <t>2.8</t>
  </si>
  <si>
    <t>Bladefin Trout</t>
  </si>
  <si>
    <t>Paralysis Trout</t>
  </si>
  <si>
    <t>Glass Bream</t>
  </si>
  <si>
    <t>The mana circulating in its body makes the body of this bream nearly glass-like, making it hard for predators and even potential mates to see each other.</t>
  </si>
  <si>
    <t>Glass-skin Trout</t>
  </si>
  <si>
    <t>The skin of this trout is so thin that you can see through the flesh of the fish; some people call this fish a skinless fish because of how thin the skin is.</t>
  </si>
  <si>
    <t>Fishermen and scholars alike warn people from even touching this fish; its skin can paralyze people if held for too long, and the effect of the paralysis can last for one day or sometimes days.</t>
  </si>
  <si>
    <t>Mead Trout</t>
  </si>
  <si>
    <t>Its flesh has a nice, sweet taste when just grilling it on an open fire; some people even reported that they have a slight hangover the next day they eat this fish.</t>
  </si>
  <si>
    <t>Golden-vein Trout</t>
  </si>
  <si>
    <t>Pure Gold Trout</t>
  </si>
  <si>
    <t>5.4</t>
  </si>
  <si>
    <t>15.6</t>
  </si>
  <si>
    <t>33.4</t>
  </si>
  <si>
    <t>Noble from Rosegleam absolutely adores this fish for its golden coloration on its body. This fish is always an offering to the High Sovereign's birthday.</t>
  </si>
  <si>
    <t>Its breast area is circulating with an intense mana that makes the temperature unnaturally cold to the touch; some fishermen even get a mild frostbite when they dare each other to hold the fish for a long time.</t>
  </si>
  <si>
    <t>Its pronounced white body makes the golden vein around its body can be seen with the naked eye, some people believe that its blood also contains gold.</t>
  </si>
  <si>
    <t>The fins have evolved into a blade that they use to slice open their prey or predator. Its will swim in a circle of their prey and slice them repeatedly.</t>
  </si>
  <si>
    <t>Hammer-tail Trout</t>
  </si>
  <si>
    <t>The top of its tail has a rigid bone that it uses to fight other trout and predators. But, because of the extra weight of the tail, this fish has difficulty swimming normally.</t>
  </si>
  <si>
    <t>This trout lost almost all the water inside its body instantly when brought up from the water. Scholars thought that this phenomenon happens because its mana becomes dependent on water.</t>
  </si>
  <si>
    <t>Armor Traits</t>
  </si>
  <si>
    <t>Iron Scale</t>
  </si>
  <si>
    <t>Crystal Scale</t>
  </si>
  <si>
    <t>Ridgeback</t>
  </si>
  <si>
    <t>Bone Plate</t>
  </si>
  <si>
    <t>Stonehide</t>
  </si>
  <si>
    <t>Barkhide</t>
  </si>
  <si>
    <t>Obsidian Scale</t>
  </si>
  <si>
    <t>Mirror Scale</t>
  </si>
  <si>
    <t>Serrated Scale</t>
  </si>
  <si>
    <t>Horn Traits</t>
  </si>
  <si>
    <t>Single Horn</t>
  </si>
  <si>
    <t>Twin Horn</t>
  </si>
  <si>
    <t>Crown Horn</t>
  </si>
  <si>
    <t>Curved Horn</t>
  </si>
  <si>
    <t>Antler Horn</t>
  </si>
  <si>
    <t>Frilled Horn</t>
  </si>
  <si>
    <t>Nose Spike</t>
  </si>
  <si>
    <t>Jaw Horn</t>
  </si>
  <si>
    <t>Hook Horn</t>
  </si>
  <si>
    <t>Eye Traits</t>
  </si>
  <si>
    <t>Ember Eyes</t>
  </si>
  <si>
    <t>Sapphire Eyes</t>
  </si>
  <si>
    <t>Golden Eyes</t>
  </si>
  <si>
    <t>Blind White Eyes</t>
  </si>
  <si>
    <t>Crystal Eyes</t>
  </si>
  <si>
    <t>Slit Pupils</t>
  </si>
  <si>
    <t>Multi-Iris Eyes</t>
  </si>
  <si>
    <t>Luminous Eyes</t>
  </si>
  <si>
    <t>Void Eyes</t>
  </si>
  <si>
    <t>Mouth Traits</t>
  </si>
  <si>
    <t>Fangjaw</t>
  </si>
  <si>
    <t>Sawtooth</t>
  </si>
  <si>
    <t>Split Jaw</t>
  </si>
  <si>
    <t>Reinforced Jaw</t>
  </si>
  <si>
    <t>Venom Fang</t>
  </si>
  <si>
    <t>Heated Teeth</t>
  </si>
  <si>
    <t>Stone Teeth</t>
  </si>
  <si>
    <t>Claw / Fin Traits</t>
  </si>
  <si>
    <t>Bladefin</t>
  </si>
  <si>
    <t>Razorfin</t>
  </si>
  <si>
    <t>Hookfin</t>
  </si>
  <si>
    <t>Spinefin</t>
  </si>
  <si>
    <t>Bonefin</t>
  </si>
  <si>
    <t>Featherfin</t>
  </si>
  <si>
    <t>Broadfin</t>
  </si>
  <si>
    <t>Tail Traits</t>
  </si>
  <si>
    <t>Hammer Tail</t>
  </si>
  <si>
    <t>Spiked Tail</t>
  </si>
  <si>
    <t>Whip Tail</t>
  </si>
  <si>
    <t>Club Tail</t>
  </si>
  <si>
    <t>Split Tail</t>
  </si>
  <si>
    <t>Bladed Tail</t>
  </si>
  <si>
    <t>Anchor Tail</t>
  </si>
  <si>
    <t>Body Growth</t>
  </si>
  <si>
    <t>Giant</t>
  </si>
  <si>
    <t>Dwarf</t>
  </si>
  <si>
    <t>Longbody</t>
  </si>
  <si>
    <t>Thickbody</t>
  </si>
  <si>
    <t>Deepbody</t>
  </si>
  <si>
    <t>Broadhead</t>
  </si>
  <si>
    <t>Heavy Bone</t>
  </si>
  <si>
    <t>Massive Spine</t>
  </si>
  <si>
    <t>Crystal Veins</t>
  </si>
  <si>
    <t>Glowing Veins</t>
  </si>
  <si>
    <t>Mana Bloom</t>
  </si>
  <si>
    <t>Arc Marks</t>
  </si>
  <si>
    <t>Mana Tumor</t>
  </si>
  <si>
    <t>Mana Scar</t>
  </si>
  <si>
    <t>Runic Pattern</t>
  </si>
  <si>
    <t>Mana Pulse</t>
  </si>
  <si>
    <t>Static</t>
  </si>
  <si>
    <t>Acid</t>
  </si>
  <si>
    <t>Smoke</t>
  </si>
  <si>
    <t>Steam</t>
  </si>
  <si>
    <t>Sand</t>
  </si>
  <si>
    <t>Mud</t>
  </si>
  <si>
    <t>Brackish Water</t>
  </si>
  <si>
    <t>Void-eyes Trout</t>
  </si>
  <si>
    <t>This trout eye lost all the luster that a living animal has; some fishermen think that this fish is blind the first time they saw it, but after the scholar checks it, the fish can swim normally without any problem.</t>
  </si>
  <si>
    <t>Clearwater Cutthroat Trout</t>
  </si>
  <si>
    <t>Purification Trout</t>
  </si>
  <si>
    <t>2.7</t>
  </si>
  <si>
    <t>Fat Lump Trout</t>
  </si>
  <si>
    <t>Scholars around Seran suggest that this is the older form of Purification Trout because of the similarity between them. They speculate that this fish is the result of excessive filtering of the water, causing the fish to grow fat lumps around its body.</t>
  </si>
  <si>
    <t>Whenever this fish lives in the body of water, the water will always appear clean and clear. Scholars speculate that maybe the fish filter all the water around it and purify it.</t>
  </si>
  <si>
    <t>Bonehead Trout</t>
  </si>
  <si>
    <t>3.4</t>
  </si>
  <si>
    <t>A thick bone will form on top of its head; the older it gets, the more it will cover its entire head when the fish is old enough.</t>
  </si>
  <si>
    <t>2.9</t>
  </si>
  <si>
    <t>Vein-gill Trout</t>
  </si>
  <si>
    <t>This fish's gills extend outward from its body, giving it a plant-like appearance, as if its gills are growing out of its body. Scholars have no idea why it was evolving like this.</t>
  </si>
  <si>
    <t>Blackblood Trout</t>
  </si>
  <si>
    <t>The entire flesh and blood of this fish is lacking any color whatsoever make it appear to be black. Scholars think the mana eats all the color out of this fish, making it almost colorless and appearing black.</t>
  </si>
  <si>
    <t>Tar Trout</t>
  </si>
  <si>
    <t>9.3</t>
  </si>
  <si>
    <t>32.1</t>
  </si>
  <si>
    <t>When this fish flesh and bone are cooked for a long time, it will produce a thick, viscous liquid that has a similar consistency to wood tar. Sailors on Tidehaven even used this liquid to coat their sails and ropes.</t>
  </si>
  <si>
    <t>Paralyzing Clownfish</t>
  </si>
  <si>
    <t>Its scales contain a certain venom that you can find on sea anemone, the venom will make individual that touch it have severe pain, blistering, and then be paralyzed for a couple of hours or days.</t>
  </si>
  <si>
    <t>Fanged Clownfish</t>
  </si>
  <si>
    <t>Its fang is protruding from its mouth, making it look menacing for a small fish. The behavior of this fish also become hyper aggressive when protecting its eggs; it will patrol around its eggs and attack anything that comes close to its eggs.</t>
  </si>
  <si>
    <t>Serpentine Barracuda</t>
  </si>
  <si>
    <t>The body of this barracuda becomes so long that it will swim almost like a snake. Some fishermen even mistake this fish for a big snake when they first encounter it.</t>
  </si>
  <si>
    <t>Crushing Jaw Barracuda</t>
  </si>
  <si>
    <t>The jaw of this barracuda is so strong that it can bite through a bone almost effortlessly. This fish is seen by fishermen chasing and biting on a turtle shell out in the open, trying to eat it.</t>
  </si>
  <si>
    <t>Bone Ridge Bass</t>
  </si>
  <si>
    <t>A bone grows out on their scale where the stripe is supposed to be; it will make the fish have a natural armor around its body, making predators have a hard time to eat it.</t>
  </si>
  <si>
    <t>Horn Bass</t>
  </si>
  <si>
    <t>A single horn grows on top of its head, a weapon to defend itself, and a tool to attract the male of the species. The female is the only fish that have horn on top of the head, the male only have tiny bump on top of its head.</t>
  </si>
  <si>
    <t>Spathafish</t>
  </si>
  <si>
    <t>Lightning Swordfish</t>
  </si>
  <si>
    <t>Fishermen tell a tale of a fish that swims so fast they think they saw a thunder moving underwater. The fishermen also said that sometimes they heard a loud noise coming from underwater, making some of them believe that the god of thunder himself was making that noise.</t>
  </si>
  <si>
    <t>Sun Sailfish</t>
  </si>
  <si>
    <t>Chameleon Sailfish</t>
  </si>
  <si>
    <t>Sailors around Tidehaven called this fish a chameleon because of its ability to change colors. Some of the fish that they brought upshore will always change color rapidly. Scholars think that this ability makes the fish able to ambush their prey.</t>
  </si>
  <si>
    <t>When this fish hunts its prey, sometime they will blind them with the light that it produces on their upper fin. Scholars assumed that this phenomenon occurred when they channel their mana to their upper fin.</t>
  </si>
  <si>
    <t>Killer Marlin</t>
  </si>
  <si>
    <t>This marlin is one of the most dangerous fish in the ocean. Whenever this fish is in the vicinity of a fishing boat, it will almost always attack the boat, and even tries to attack the fishermen.</t>
  </si>
  <si>
    <t>Saw-teeth Catfish</t>
  </si>
  <si>
    <t>Saw-Jaw Marlin</t>
  </si>
  <si>
    <t>The long upper jaw of this fish has mutated and resembles the long sword of Ourean soldiers. Its upper jaw has sometimes been used by Smith to forge a sword for mercenaries and sellswords alike.</t>
  </si>
  <si>
    <t>Its long upper jaw has a growth inward, making it resemble a saw and also making it really hard to pull out whenever this fish stabs its prey or predators. This fish also swims really fast make it able to drag a small boat for a long distance.</t>
  </si>
  <si>
    <t>Grey Crossbowfish</t>
  </si>
  <si>
    <t>Filefish</t>
  </si>
  <si>
    <t>Bald Seabream</t>
  </si>
  <si>
    <t>This fish got its name because of the pattern on its head, making it look almost bald. Even though this fish is aggressive and always attacks whatever is near it, sailors still love this fish and sometimes release it again into the ocean because of its funny pattern.</t>
  </si>
  <si>
    <t>Masked Seabream</t>
  </si>
  <si>
    <t>3.1</t>
  </si>
  <si>
    <t>The usual vertical pattern on this species becomes horizontal on this mutated seabream, making this fish look like it was wearing a mask around its face. This fish will patrol its home day and night, it will attack anything that comes close to its home.</t>
  </si>
  <si>
    <t>Two small horns grow on each side of the head. These tiny horns, speculated by Scholars to be a tool to attract the female bream because of how small this horn is, have almost no attacking capabilities.</t>
  </si>
  <si>
    <t>Shellcracker Bream</t>
  </si>
  <si>
    <t>Its jaw has small but powerful teeth that can break the shell small shellfish; sometimes, the hook of the fishing rod will be bent because of this fish's teeth.</t>
  </si>
  <si>
    <t>Two Horn Bream</t>
  </si>
  <si>
    <t>Tusk Seabream</t>
  </si>
  <si>
    <t>9.7</t>
  </si>
  <si>
    <t>A long tusk grows from the bottom of its mouth, making it a great defensive weapon for when predators attack it or when it defending it's eggs in breeding season.</t>
  </si>
  <si>
    <t>Rotten Seabream</t>
  </si>
  <si>
    <t>The flesh of this fish is decaying rapidly, making a hole around its body. Even when there is a hole around its body, this fish still swims and eats normally like nothing's wrong.</t>
  </si>
  <si>
    <t>Gilthead Seabream</t>
  </si>
  <si>
    <t>Their main prey is a shellfish, and they use their fang to bite into the shell and then heat their fangs to make a hole in the shell. Because of the sudden raise of the temperature, the mollusk will open its shell and be eaten by the fish.</t>
  </si>
  <si>
    <t>Heatfang Seabream</t>
  </si>
  <si>
    <t>Crested Seabream</t>
  </si>
  <si>
    <t>0.65</t>
  </si>
  <si>
    <t>17.5</t>
  </si>
  <si>
    <t>15.5</t>
  </si>
  <si>
    <t>A bone protruding between its eyes and into the top of its head, this feature is used to attract the opposite gender of the fish; female fish have a bigger crest than their counterpart.</t>
  </si>
  <si>
    <t>Crownhead Sea Catfish</t>
  </si>
  <si>
    <t>A three-bone growth along its head, making it resemble a crown, this fish also enables it to swim a lot faster, scholars suspect.</t>
  </si>
  <si>
    <t>Seeping Sea Catfish</t>
  </si>
  <si>
    <t>Barbed Sea Catfish</t>
  </si>
  <si>
    <t>Its whiskers have a lot of tiny spines that are venomous; this venom can paralyze its prey when got attached to its body.</t>
  </si>
  <si>
    <t>7.3</t>
  </si>
  <si>
    <t>13.7</t>
  </si>
  <si>
    <t>56.3</t>
  </si>
  <si>
    <t>Potbelly Sea Catfish</t>
  </si>
  <si>
    <t>This fish will eat a lot of fish for a whole day until its stomach nearly bursts before finally stopping all activity and sleeping for a long time. This fish becomes vulnerable to all predators when they enter the sleep state.</t>
  </si>
  <si>
    <t>Searing Dolphinfish</t>
  </si>
  <si>
    <t>When this fish feels threatened, it will secrete a clear liquid covering its entire body. Fishermen reported that this liquid makes their hands feel like being directly burned on a bonfire, even when only being touched for a short time; some even lose their hands when touching the fish for longer than a few seconds.</t>
  </si>
  <si>
    <t>Stonehead Dolphinfish</t>
  </si>
  <si>
    <t>A thick layer of scale grows in front of its head, covering it entirely, making it as hard as a rock. This thick headed fish compete with each other for a potential mate with their heads.</t>
  </si>
  <si>
    <t>Glowing Flounder</t>
  </si>
  <si>
    <t>The fin on the top and bottom of this fish glows whenever it goes hunting. The glow attracts small fish, which approach the flounder. When the fish is near enough, the flounder strikes with a swift gulp.</t>
  </si>
  <si>
    <t>Venomous Hogchoker</t>
  </si>
  <si>
    <t>Crystal Scale Flounder</t>
  </si>
  <si>
    <t>Its scale is really brittle and easily shattered. Scholars think that this type of scale will shatter whenever predators try to eat it, hurting the predator's mouth and causing it to swim away in pain.</t>
  </si>
  <si>
    <t>Gulper Grouper</t>
  </si>
  <si>
    <t>This fish will hunt a smaller schooling fish and just swallow them whole. This fish is also so aggressive and sometimes will be seen fighting each other near their prey.</t>
  </si>
  <si>
    <t>Big Eyes Grouper</t>
  </si>
  <si>
    <t>Its eyes are almost bigger than its head enable it to see better in the dark. But scholars realize that there is a chance that the older this fish is, the more likely its eyes will sometimes come out of its skull, making this fish blind.</t>
  </si>
  <si>
    <t>Bone-ring Grouper</t>
  </si>
  <si>
    <t>13.2</t>
  </si>
  <si>
    <t>A bone-like ring is growing around its body, covering it sporadically. This bone ring protects the grouper from large predators that want to eat the grouper, but smaller predator fish can still take a nibble out of its flesh.</t>
  </si>
  <si>
    <t>Cracking Grouper</t>
  </si>
  <si>
    <t>2.1</t>
  </si>
  <si>
    <t>11.7</t>
  </si>
  <si>
    <t>67.3</t>
  </si>
  <si>
    <t>Its entire body is covered with a thin line that is slowly getting longer and deeper inside its body. This crack will keep getting deeper and deeper until it opens up the body of the fish.</t>
  </si>
  <si>
    <t>Mana inside its body is constantly leaking blood into the surrounding water to attract small fish, but due to the constant blood loss, this fish needs to keep eating to replenish all the blood and make it more voracious than ever.</t>
  </si>
  <si>
    <t>Ribcage Grouper</t>
  </si>
  <si>
    <t>The top body of this fish has no flesh at all, and this exposes the rib. Scholars suggest that the mana is keeping this fish alive, but they don't know how or why.</t>
  </si>
  <si>
    <t>Insect Jaw Grouper</t>
  </si>
  <si>
    <t>A pair of pincers that grow beside its mouth, these pincers can hold a small prey before the grouper eats its flesh bit by bit.</t>
  </si>
  <si>
    <t>Silver Scale Mackerel</t>
  </si>
  <si>
    <t>Merchants will make accessories out of this fish's loose scales and sell them for a pretty high price. These accessories are very popular for middle and lower class noble because of their appearance and price that not too high.</t>
  </si>
  <si>
    <t>Wolf-fang Mackerel</t>
  </si>
  <si>
    <t>A sharp fang protrudes from its mouth, making it look really menacing. Its fang can easily penetrate into the flesh of its prey, and even some hard shelled mollusk can be cracked.</t>
  </si>
  <si>
    <t>Lion-mane Fish</t>
  </si>
  <si>
    <t>A hair-like tentacle grows around the head of this fish; this hair has the same venom as the spine, making it more dangerous than a normal lionfish. When something touches this hair, it will not hurt as much until the venom works.</t>
  </si>
  <si>
    <t>Bladespine Fish</t>
  </si>
  <si>
    <t>The spine of this fish evolved into a blade that will not only slash you, but also will inject the natural venom that this fish possesses. The blade will open the flesh, and the tiny needles will inject venom into the attacker.</t>
  </si>
  <si>
    <t>Two-headed Shark</t>
  </si>
  <si>
    <t>This fish has another head that works perfectly in tandem with its main head. Scholars argue about how this thing happens; some say that it happens because mana mutates and merges two eggs into one, while the other suggested that the strongest shark eats the eggs inside the parent, and the eggs still grow inside the stomach.</t>
  </si>
  <si>
    <t>Spiked Dogfish</t>
  </si>
  <si>
    <t>The upper part of this fish is covered with spikes that grow from the top of its head until just before the tail. This sharp spike is speculated to be an indication of how old the shark is.</t>
  </si>
  <si>
    <t>Viper Snapper</t>
  </si>
  <si>
    <t>A lot of fishermen died catching this seemingly docile fish, but because of their carelessness, this fish will bite their hand and inject venom that will kill you in days.</t>
  </si>
  <si>
    <t>Bloodeye Snapper</t>
  </si>
  <si>
    <t>Its eyes will leak a lot of blood whenever this fish is brought up to the boat. A lot of fishermen think that this fish is crying because it is being caught by the fishermen.</t>
  </si>
  <si>
    <t>Blinding Crossbowfish</t>
  </si>
  <si>
    <t>Whenever this fish feels threatened by predators, it will erect its front upper fin and then use mana to create a blinding flash of light, and then swim away before the predators can recover.</t>
  </si>
  <si>
    <t>Scarred Crossbowfish</t>
  </si>
  <si>
    <t>2.6</t>
  </si>
  <si>
    <t>A scar can be seen covering this fish all over its body. This happens because of the aggressive nature of the fish, which is being taken to overdrive by mana, and it will keep attacking anything that moves without discrimination, sometimes even predators that are bigger in size than it.</t>
  </si>
  <si>
    <t>Stomach-less Tuna</t>
  </si>
  <si>
    <t>Fishermen sometimes saw this fish floating on the ocean, lifeless. When they cut up the fish, they realize that this fish's stomach is gone, and they only have the flesh and no innards at all. Scholars think that long exposure to mana makes the stomach go away.</t>
  </si>
  <si>
    <t>Frigid Tuna</t>
  </si>
  <si>
    <t>Its flesh is ice cold whenever a fishermen cut it and stays cold even when they bring it to shore. This fish is really popular because it tastes fresh for a long time and has a nice texture to it because of the temperature.</t>
  </si>
  <si>
    <t>Bladefin Tuna</t>
  </si>
  <si>
    <t>The long fin at the top and bottom of its body is sharp and can easily cut your hand. This fish will use this evolved fin to cut their prey when circling them.</t>
  </si>
  <si>
    <t>Paralyzing Tuna</t>
  </si>
  <si>
    <t xml:space="preserve">The long upper fin of this fish has venom that will paralyze you if you are sliced by it; the effect of the venom only lasts around an hour and will not kill anyone. </t>
  </si>
  <si>
    <t>The longfin tuna has a streamlined, fusiform body with a conical snout, a large mouth, and big eyes. Its body is dark blue above, shades of silvery white ventrally, and covered by small scales.</t>
  </si>
  <si>
    <t>Obsidian Scale Tuna</t>
  </si>
  <si>
    <t>The dark part of the body is covered in hard scales that resemble obsidian in color; these hard scales are sometimes used by smiths to make a cheap shield for mercenaries and sellswords alike.</t>
  </si>
  <si>
    <t>Winged Tuna</t>
  </si>
  <si>
    <t>Its fin on each side of the fish is so long and so wide that it resembles a bird's wings. Scholars don't exactly know why the fin evolved to these sizes and just assume it will help the fish to swim better.</t>
  </si>
  <si>
    <t>Eyeless Tuna</t>
  </si>
  <si>
    <t>27.2</t>
  </si>
  <si>
    <t>172.4</t>
  </si>
  <si>
    <t>Fishermen think that this fish's eyes are gone because of predation, but scholars suggest that this fish doesn't even have eyes to begin with because there is no scar anywhere near its head.</t>
  </si>
  <si>
    <t>26.4</t>
  </si>
  <si>
    <t>185.3</t>
  </si>
  <si>
    <t>75.7</t>
  </si>
  <si>
    <t>264.2</t>
  </si>
  <si>
    <t>Fat Blob Tuna</t>
  </si>
  <si>
    <t>Its entire body is covered with a green lump that will burst if you even poke it with your finger. The green liquid inside the lump has a horrible stench and can be used as bait to attract small fish.</t>
  </si>
  <si>
    <t>Water ID</t>
  </si>
  <si>
    <t>Rarity ID</t>
  </si>
  <si>
    <t>Fish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</si>
</sst>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11"/>
      <color theme="0"/>
      <name val="Times New Roman"/>
      <family val="1"/>
    </font>
    <font>
      <sz val="11"/>
      <color theme="0"/>
      <name val="Times New Roman"/>
      <family val="1"/>
    </font>
    <font>
      <b/>
      <sz val="13.5"/>
      <color theme="0"/>
      <name val="Times New Roman"/>
      <family val="1"/>
    </font>
    <font>
      <b/>
      <sz val="14"/>
      <color theme="0"/>
      <name val="Times New Roman"/>
      <family val="1"/>
    </font>
  </fonts>
  <fills count="3">
    <fill>
      <patternFill patternType="none"/>
    </fill>
    <fill>
      <patternFill patternType="gray125"/>
    </fill>
    <fill>
      <patternFill patternType="solid">
        <fgColor theme="1" tint="0.1499984740745262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0">
    <xf numFmtId="0" fontId="0" fillId="0" borderId="0" xfId="0"/>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right" vertical="center"/>
    </xf>
    <xf numFmtId="0" fontId="3" fillId="2" borderId="0" xfId="0" applyFont="1" applyFill="1" applyAlignment="1">
      <alignment vertical="center"/>
    </xf>
    <xf numFmtId="0" fontId="3" fillId="2" borderId="0" xfId="0" applyFont="1" applyFill="1"/>
    <xf numFmtId="0" fontId="2" fillId="2" borderId="0" xfId="0" applyFont="1" applyFill="1" applyAlignment="1">
      <alignment vertical="center" wrapText="1"/>
    </xf>
    <xf numFmtId="0" fontId="3" fillId="2" borderId="0" xfId="0" applyFont="1" applyFill="1" applyAlignment="1">
      <alignment vertical="center" wrapText="1"/>
    </xf>
    <xf numFmtId="0" fontId="3" fillId="2" borderId="0" xfId="0" applyFont="1" applyFill="1" applyAlignment="1">
      <alignment wrapText="1"/>
    </xf>
    <xf numFmtId="0" fontId="2" fillId="2" borderId="0" xfId="0" applyFont="1" applyFill="1"/>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3" fillId="2" borderId="1" xfId="0" applyFont="1" applyFill="1" applyBorder="1" applyAlignment="1">
      <alignment horizontal="left" vertical="center" wrapText="1"/>
    </xf>
    <xf numFmtId="0" fontId="3" fillId="2" borderId="1" xfId="0" applyFont="1" applyFill="1" applyBorder="1" applyAlignment="1">
      <alignment vertical="center"/>
    </xf>
    <xf numFmtId="0" fontId="1" fillId="2" borderId="1" xfId="0" applyFont="1" applyFill="1" applyBorder="1" applyAlignment="1">
      <alignment vertical="center"/>
    </xf>
    <xf numFmtId="0" fontId="3" fillId="2" borderId="1" xfId="0" quotePrefix="1" applyFont="1" applyFill="1" applyBorder="1" applyAlignment="1">
      <alignment horizontal="left" vertical="center" wrapText="1"/>
    </xf>
    <xf numFmtId="0" fontId="3" fillId="2" borderId="1" xfId="0" applyFont="1" applyFill="1" applyBorder="1" applyAlignment="1">
      <alignment vertical="center" wrapText="1"/>
    </xf>
    <xf numFmtId="0" fontId="3" fillId="2" borderId="1" xfId="0" quotePrefix="1" applyFont="1" applyFill="1" applyBorder="1" applyAlignment="1">
      <alignment vertical="center" wrapText="1"/>
    </xf>
    <xf numFmtId="0" fontId="3" fillId="2" borderId="1" xfId="0" applyFont="1" applyFill="1" applyBorder="1" applyAlignment="1">
      <alignment horizontal="righ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xf>
    <xf numFmtId="0" fontId="5" fillId="2" borderId="1" xfId="0" applyFont="1" applyFill="1" applyBorder="1" applyAlignment="1">
      <alignment wrapText="1"/>
    </xf>
    <xf numFmtId="0" fontId="3" fillId="2" borderId="1" xfId="0" applyFont="1" applyFill="1" applyBorder="1" applyAlignment="1">
      <alignment wrapText="1"/>
    </xf>
    <xf numFmtId="0" fontId="3" fillId="2" borderId="0" xfId="0" applyFont="1" applyFill="1" applyAlignment="1"/>
    <xf numFmtId="0" fontId="4" fillId="2" borderId="1" xfId="0" applyFont="1" applyFill="1" applyBorder="1" applyAlignment="1">
      <alignment wrapText="1"/>
    </xf>
    <xf numFmtId="0" fontId="0" fillId="2" borderId="0" xfId="0" applyFill="1"/>
    <xf numFmtId="0" fontId="1" fillId="2" borderId="0" xfId="0" applyFont="1" applyFill="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260D-1473-4B2E-8F80-948837984D02}">
  <sheetPr codeName="Sheet1"/>
  <dimension ref="A1:G98"/>
  <sheetViews>
    <sheetView workbookViewId="0">
      <selection activeCell="I1" sqref="I1"/>
    </sheetView>
  </sheetViews>
  <sheetFormatPr defaultColWidth="8.88671875" defaultRowHeight="13.8" x14ac:dyDescent="0.25"/>
  <cols>
    <col min="1" max="1" width="18.6640625" style="9" bestFit="1" customWidth="1"/>
    <col min="2" max="2" width="8.88671875" style="25"/>
    <col min="3" max="3" width="15.77734375" style="9" bestFit="1" customWidth="1"/>
    <col min="4" max="4" width="8.88671875" style="25"/>
    <col min="5" max="5" width="19.77734375" style="25" bestFit="1" customWidth="1"/>
    <col min="6" max="6" width="8.88671875" style="25"/>
    <col min="7" max="7" width="16" style="25" bestFit="1" customWidth="1"/>
    <col min="8" max="8" width="8.88671875" style="25"/>
    <col min="9" max="9" width="20.44140625" style="25" customWidth="1"/>
    <col min="10" max="16384" width="8.88671875" style="25"/>
  </cols>
  <sheetData>
    <row r="1" spans="1:7" ht="17.399999999999999" x14ac:dyDescent="0.3">
      <c r="A1" s="26" t="s">
        <v>39</v>
      </c>
      <c r="C1" s="23" t="s">
        <v>960</v>
      </c>
      <c r="E1" s="23" t="s">
        <v>980</v>
      </c>
      <c r="G1" s="23" t="s">
        <v>970</v>
      </c>
    </row>
    <row r="2" spans="1:7" x14ac:dyDescent="0.25">
      <c r="A2" s="24" t="s">
        <v>66</v>
      </c>
      <c r="C2" s="24" t="s">
        <v>655</v>
      </c>
      <c r="E2" s="24" t="s">
        <v>981</v>
      </c>
      <c r="G2" s="24" t="s">
        <v>971</v>
      </c>
    </row>
    <row r="3" spans="1:7" x14ac:dyDescent="0.25">
      <c r="A3" s="24" t="s">
        <v>67</v>
      </c>
      <c r="C3" s="24" t="s">
        <v>961</v>
      </c>
      <c r="E3" s="24" t="s">
        <v>982</v>
      </c>
      <c r="G3" s="24" t="s">
        <v>972</v>
      </c>
    </row>
    <row r="4" spans="1:7" x14ac:dyDescent="0.25">
      <c r="A4" s="24" t="s">
        <v>68</v>
      </c>
      <c r="C4" s="24" t="s">
        <v>962</v>
      </c>
      <c r="E4" s="24" t="s">
        <v>983</v>
      </c>
      <c r="G4" s="24" t="s">
        <v>973</v>
      </c>
    </row>
    <row r="5" spans="1:7" x14ac:dyDescent="0.25">
      <c r="A5" s="24" t="s">
        <v>69</v>
      </c>
      <c r="C5" s="24" t="s">
        <v>963</v>
      </c>
      <c r="E5" s="24" t="s">
        <v>984</v>
      </c>
      <c r="G5" s="24" t="s">
        <v>974</v>
      </c>
    </row>
    <row r="6" spans="1:7" x14ac:dyDescent="0.25">
      <c r="A6" s="24" t="s">
        <v>70</v>
      </c>
      <c r="C6" s="24" t="s">
        <v>964</v>
      </c>
      <c r="E6" s="24" t="s">
        <v>985</v>
      </c>
      <c r="G6" s="24" t="s">
        <v>975</v>
      </c>
    </row>
    <row r="7" spans="1:7" x14ac:dyDescent="0.25">
      <c r="A7" s="24" t="s">
        <v>71</v>
      </c>
      <c r="C7" s="24" t="s">
        <v>965</v>
      </c>
      <c r="E7" s="24" t="s">
        <v>986</v>
      </c>
      <c r="G7" s="24" t="s">
        <v>976</v>
      </c>
    </row>
    <row r="8" spans="1:7" x14ac:dyDescent="0.25">
      <c r="A8" s="24" t="s">
        <v>72</v>
      </c>
      <c r="C8" s="24" t="s">
        <v>966</v>
      </c>
      <c r="E8" s="24" t="s">
        <v>987</v>
      </c>
      <c r="G8" s="24" t="s">
        <v>977</v>
      </c>
    </row>
    <row r="9" spans="1:7" x14ac:dyDescent="0.25">
      <c r="A9" s="24" t="s">
        <v>73</v>
      </c>
      <c r="C9" s="24" t="s">
        <v>967</v>
      </c>
      <c r="E9" s="24" t="s">
        <v>988</v>
      </c>
      <c r="G9" s="24" t="s">
        <v>978</v>
      </c>
    </row>
    <row r="10" spans="1:7" x14ac:dyDescent="0.25">
      <c r="A10" s="24" t="s">
        <v>74</v>
      </c>
      <c r="C10" s="24" t="s">
        <v>968</v>
      </c>
      <c r="E10" s="24" t="s">
        <v>989</v>
      </c>
      <c r="G10" s="24" t="s">
        <v>979</v>
      </c>
    </row>
    <row r="11" spans="1:7" x14ac:dyDescent="0.25">
      <c r="A11" s="24" t="s">
        <v>57</v>
      </c>
      <c r="C11" s="24" t="s">
        <v>969</v>
      </c>
    </row>
    <row r="12" spans="1:7" ht="17.399999999999999" x14ac:dyDescent="0.3">
      <c r="A12" s="24" t="s">
        <v>75</v>
      </c>
      <c r="E12" s="23" t="s">
        <v>1014</v>
      </c>
      <c r="G12" s="23" t="s">
        <v>990</v>
      </c>
    </row>
    <row r="13" spans="1:7" ht="17.399999999999999" x14ac:dyDescent="0.3">
      <c r="A13" s="24" t="s">
        <v>76</v>
      </c>
      <c r="C13" s="23" t="s">
        <v>1006</v>
      </c>
      <c r="E13" s="24" t="s">
        <v>1015</v>
      </c>
      <c r="G13" s="24" t="s">
        <v>991</v>
      </c>
    </row>
    <row r="14" spans="1:7" x14ac:dyDescent="0.25">
      <c r="A14" s="24" t="s">
        <v>77</v>
      </c>
      <c r="C14" s="24" t="s">
        <v>1007</v>
      </c>
      <c r="E14" s="24" t="s">
        <v>1016</v>
      </c>
      <c r="G14" s="24" t="s">
        <v>992</v>
      </c>
    </row>
    <row r="15" spans="1:7" x14ac:dyDescent="0.25">
      <c r="A15" s="24" t="s">
        <v>78</v>
      </c>
      <c r="C15" s="24" t="s">
        <v>1008</v>
      </c>
      <c r="E15" s="24" t="s">
        <v>1017</v>
      </c>
      <c r="G15" s="24" t="s">
        <v>993</v>
      </c>
    </row>
    <row r="16" spans="1:7" x14ac:dyDescent="0.25">
      <c r="C16" s="24" t="s">
        <v>1009</v>
      </c>
      <c r="E16" s="24" t="s">
        <v>1018</v>
      </c>
      <c r="G16" s="24" t="s">
        <v>994</v>
      </c>
    </row>
    <row r="17" spans="1:7" ht="17.399999999999999" x14ac:dyDescent="0.3">
      <c r="A17" s="26" t="s">
        <v>1037</v>
      </c>
      <c r="C17" s="24" t="s">
        <v>1010</v>
      </c>
      <c r="E17" s="24" t="s">
        <v>1019</v>
      </c>
      <c r="G17" s="24" t="s">
        <v>995</v>
      </c>
    </row>
    <row r="18" spans="1:7" x14ac:dyDescent="0.25">
      <c r="A18" s="24" t="s">
        <v>79</v>
      </c>
      <c r="C18" s="24" t="s">
        <v>1011</v>
      </c>
      <c r="E18" s="24" t="s">
        <v>1020</v>
      </c>
      <c r="G18" s="24" t="s">
        <v>996</v>
      </c>
    </row>
    <row r="19" spans="1:7" x14ac:dyDescent="0.25">
      <c r="A19" s="24" t="s">
        <v>80</v>
      </c>
      <c r="C19" s="24" t="s">
        <v>1012</v>
      </c>
      <c r="E19" s="24" t="s">
        <v>1021</v>
      </c>
      <c r="G19" s="24" t="s">
        <v>997</v>
      </c>
    </row>
    <row r="20" spans="1:7" x14ac:dyDescent="0.25">
      <c r="A20" s="24" t="s">
        <v>81</v>
      </c>
      <c r="C20" s="24" t="s">
        <v>1013</v>
      </c>
      <c r="E20" s="24" t="s">
        <v>1022</v>
      </c>
    </row>
    <row r="21" spans="1:7" x14ac:dyDescent="0.25">
      <c r="A21" s="24" t="s">
        <v>82</v>
      </c>
    </row>
    <row r="22" spans="1:7" ht="17.399999999999999" x14ac:dyDescent="0.3">
      <c r="A22" s="24" t="s">
        <v>83</v>
      </c>
      <c r="C22" s="23" t="s">
        <v>662</v>
      </c>
      <c r="E22" s="23" t="s">
        <v>998</v>
      </c>
    </row>
    <row r="23" spans="1:7" x14ac:dyDescent="0.25">
      <c r="A23" s="24" t="s">
        <v>84</v>
      </c>
      <c r="C23" s="24" t="s">
        <v>1023</v>
      </c>
      <c r="E23" s="24" t="s">
        <v>999</v>
      </c>
    </row>
    <row r="24" spans="1:7" x14ac:dyDescent="0.25">
      <c r="C24" s="24" t="s">
        <v>1024</v>
      </c>
      <c r="E24" s="24" t="s">
        <v>1000</v>
      </c>
    </row>
    <row r="25" spans="1:7" ht="17.399999999999999" x14ac:dyDescent="0.3">
      <c r="A25" s="26" t="s">
        <v>85</v>
      </c>
      <c r="C25" s="24" t="s">
        <v>1025</v>
      </c>
      <c r="E25" s="24" t="s">
        <v>656</v>
      </c>
    </row>
    <row r="26" spans="1:7" x14ac:dyDescent="0.25">
      <c r="A26" s="24" t="s">
        <v>86</v>
      </c>
      <c r="C26" s="24" t="s">
        <v>1026</v>
      </c>
      <c r="E26" s="24" t="s">
        <v>1001</v>
      </c>
    </row>
    <row r="27" spans="1:7" x14ac:dyDescent="0.25">
      <c r="A27" s="24" t="s">
        <v>87</v>
      </c>
      <c r="C27" s="24" t="s">
        <v>1027</v>
      </c>
      <c r="E27" s="24" t="s">
        <v>1002</v>
      </c>
    </row>
    <row r="28" spans="1:7" x14ac:dyDescent="0.25">
      <c r="A28" s="24" t="s">
        <v>88</v>
      </c>
      <c r="C28" s="24" t="s">
        <v>1028</v>
      </c>
      <c r="E28" s="24" t="s">
        <v>1003</v>
      </c>
    </row>
    <row r="29" spans="1:7" x14ac:dyDescent="0.25">
      <c r="A29" s="24" t="s">
        <v>89</v>
      </c>
      <c r="C29" s="24" t="s">
        <v>1029</v>
      </c>
      <c r="E29" s="24" t="s">
        <v>1004</v>
      </c>
    </row>
    <row r="30" spans="1:7" x14ac:dyDescent="0.25">
      <c r="A30" s="24" t="s">
        <v>90</v>
      </c>
      <c r="C30" s="24" t="s">
        <v>1030</v>
      </c>
      <c r="E30" s="24" t="s">
        <v>1005</v>
      </c>
    </row>
    <row r="31" spans="1:7" x14ac:dyDescent="0.25">
      <c r="A31" s="24" t="s">
        <v>91</v>
      </c>
    </row>
    <row r="32" spans="1:7" x14ac:dyDescent="0.25">
      <c r="A32" s="24" t="s">
        <v>92</v>
      </c>
    </row>
    <row r="33" spans="1:5" x14ac:dyDescent="0.25">
      <c r="A33" s="24" t="s">
        <v>93</v>
      </c>
    </row>
    <row r="34" spans="1:5" x14ac:dyDescent="0.25">
      <c r="A34" s="24" t="s">
        <v>94</v>
      </c>
    </row>
    <row r="43" spans="1:5" x14ac:dyDescent="0.25">
      <c r="E43" s="9"/>
    </row>
    <row r="44" spans="1:5" x14ac:dyDescent="0.25">
      <c r="E44" s="9"/>
    </row>
    <row r="45" spans="1:5" x14ac:dyDescent="0.25">
      <c r="E45" s="9"/>
    </row>
    <row r="55" spans="5:5" x14ac:dyDescent="0.25">
      <c r="E55" s="9"/>
    </row>
    <row r="56" spans="5:5" x14ac:dyDescent="0.25">
      <c r="E56" s="9"/>
    </row>
    <row r="57" spans="5:5" x14ac:dyDescent="0.25">
      <c r="E57" s="9"/>
    </row>
    <row r="85" spans="5:5" x14ac:dyDescent="0.25">
      <c r="E85" s="9"/>
    </row>
    <row r="86" spans="5:5" x14ac:dyDescent="0.25">
      <c r="E86" s="9"/>
    </row>
    <row r="87" spans="5:5" x14ac:dyDescent="0.25">
      <c r="E87" s="9"/>
    </row>
    <row r="88" spans="5:5" x14ac:dyDescent="0.25">
      <c r="E88" s="9" t="s">
        <v>657</v>
      </c>
    </row>
    <row r="89" spans="5:5" x14ac:dyDescent="0.25">
      <c r="E89" s="9" t="s">
        <v>658</v>
      </c>
    </row>
    <row r="90" spans="5:5" x14ac:dyDescent="0.25">
      <c r="E90" s="9" t="s">
        <v>659</v>
      </c>
    </row>
    <row r="91" spans="5:5" x14ac:dyDescent="0.25">
      <c r="E91" s="9" t="s">
        <v>660</v>
      </c>
    </row>
    <row r="92" spans="5:5" x14ac:dyDescent="0.25">
      <c r="E92" s="9" t="s">
        <v>1031</v>
      </c>
    </row>
    <row r="93" spans="5:5" x14ac:dyDescent="0.25">
      <c r="E93" s="9" t="s">
        <v>661</v>
      </c>
    </row>
    <row r="94" spans="5:5" x14ac:dyDescent="0.25">
      <c r="E94" s="9" t="s">
        <v>1032</v>
      </c>
    </row>
    <row r="95" spans="5:5" x14ac:dyDescent="0.25">
      <c r="E95" s="9" t="s">
        <v>1033</v>
      </c>
    </row>
    <row r="96" spans="5:5" x14ac:dyDescent="0.25">
      <c r="E96" s="9" t="s">
        <v>1034</v>
      </c>
    </row>
    <row r="97" spans="5:5" x14ac:dyDescent="0.25">
      <c r="E97" s="9" t="s">
        <v>1035</v>
      </c>
    </row>
    <row r="98" spans="5:5" x14ac:dyDescent="0.25">
      <c r="E98" s="9" t="s">
        <v>1036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325F-7566-4EAC-9652-45A711BDD2B5}">
  <sheetPr codeName="Sheet2"/>
  <dimension ref="A1:F7"/>
  <sheetViews>
    <sheetView workbookViewId="0">
      <pane ySplit="1" topLeftCell="A2" activePane="bottomLeft" state="frozen"/>
      <selection pane="bottomLeft" activeCell="E14" sqref="E14"/>
    </sheetView>
  </sheetViews>
  <sheetFormatPr defaultColWidth="8.88671875" defaultRowHeight="13.8" x14ac:dyDescent="0.25"/>
  <cols>
    <col min="1" max="1" width="6.33203125" style="8" bestFit="1" customWidth="1"/>
    <col min="2" max="2" width="10.44140625" style="8" bestFit="1" customWidth="1"/>
    <col min="3" max="3" width="13.33203125" style="8" bestFit="1" customWidth="1"/>
    <col min="4" max="4" width="9" style="8" bestFit="1" customWidth="1"/>
    <col min="5" max="5" width="11.44140625" style="8" bestFit="1" customWidth="1"/>
    <col min="6" max="6" width="13.6640625" style="8" bestFit="1" customWidth="1"/>
    <col min="7" max="16384" width="8.88671875" style="6"/>
  </cols>
  <sheetData>
    <row r="1" spans="1:6" ht="27.6" x14ac:dyDescent="0.25">
      <c r="A1" s="21" t="s">
        <v>225</v>
      </c>
      <c r="B1" s="21" t="s">
        <v>0</v>
      </c>
      <c r="C1" s="21" t="s">
        <v>226</v>
      </c>
      <c r="D1" s="21" t="s">
        <v>227</v>
      </c>
      <c r="E1" s="21" t="s">
        <v>228</v>
      </c>
      <c r="F1" s="21" t="s">
        <v>229</v>
      </c>
    </row>
    <row r="2" spans="1:6" x14ac:dyDescent="0.25">
      <c r="A2" s="18" t="s">
        <v>224</v>
      </c>
      <c r="B2" s="18" t="s">
        <v>15</v>
      </c>
      <c r="C2" s="18" t="s">
        <v>317</v>
      </c>
      <c r="D2" s="18">
        <v>100</v>
      </c>
      <c r="E2" s="18">
        <v>0</v>
      </c>
      <c r="F2" s="18">
        <v>5</v>
      </c>
    </row>
    <row r="3" spans="1:6" x14ac:dyDescent="0.25">
      <c r="A3" s="18" t="s">
        <v>230</v>
      </c>
      <c r="B3" s="18" t="s">
        <v>17</v>
      </c>
      <c r="C3" s="18" t="s">
        <v>316</v>
      </c>
      <c r="D3" s="18">
        <v>100</v>
      </c>
      <c r="E3" s="18">
        <v>0</v>
      </c>
      <c r="F3" s="18">
        <v>4</v>
      </c>
    </row>
    <row r="4" spans="1:6" x14ac:dyDescent="0.25">
      <c r="A4" s="18" t="s">
        <v>231</v>
      </c>
      <c r="B4" s="18" t="s">
        <v>20</v>
      </c>
      <c r="C4" s="19" t="s">
        <v>315</v>
      </c>
      <c r="D4" s="18">
        <v>60</v>
      </c>
      <c r="E4" s="18">
        <v>15</v>
      </c>
      <c r="F4" s="18">
        <v>3</v>
      </c>
    </row>
    <row r="5" spans="1:6" x14ac:dyDescent="0.25">
      <c r="A5" s="18" t="s">
        <v>232</v>
      </c>
      <c r="B5" s="18" t="s">
        <v>235</v>
      </c>
      <c r="C5" s="19" t="s">
        <v>314</v>
      </c>
      <c r="D5" s="18">
        <v>20</v>
      </c>
      <c r="E5" s="18">
        <v>25</v>
      </c>
      <c r="F5" s="18">
        <v>2</v>
      </c>
    </row>
    <row r="6" spans="1:6" x14ac:dyDescent="0.25">
      <c r="A6" s="18" t="s">
        <v>233</v>
      </c>
      <c r="B6" s="18" t="s">
        <v>236</v>
      </c>
      <c r="C6" s="19" t="s">
        <v>313</v>
      </c>
      <c r="D6" s="18">
        <v>10</v>
      </c>
      <c r="E6" s="18">
        <v>40</v>
      </c>
      <c r="F6" s="18">
        <v>1</v>
      </c>
    </row>
    <row r="7" spans="1:6" x14ac:dyDescent="0.25">
      <c r="A7" s="18" t="s">
        <v>234</v>
      </c>
      <c r="B7" s="18" t="s">
        <v>237</v>
      </c>
      <c r="C7" s="18" t="s">
        <v>238</v>
      </c>
      <c r="D7" s="18">
        <v>100</v>
      </c>
      <c r="E7" s="18">
        <v>30</v>
      </c>
      <c r="F7" s="18">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40DA-B477-45BF-81B5-E0EFA8CDE1AC}">
  <sheetPr codeName="Sheet3"/>
  <dimension ref="A1:E44"/>
  <sheetViews>
    <sheetView tabSelected="1" workbookViewId="0">
      <pane ySplit="1" topLeftCell="A2" activePane="bottomLeft" state="frozen"/>
      <selection pane="bottomLeft" activeCell="D9" sqref="D9"/>
    </sheetView>
  </sheetViews>
  <sheetFormatPr defaultColWidth="8.88671875" defaultRowHeight="13.8" x14ac:dyDescent="0.25"/>
  <cols>
    <col min="1" max="1" width="20.88671875" style="5" customWidth="1"/>
    <col min="2" max="2" width="11.109375" style="5" bestFit="1" customWidth="1"/>
    <col min="3" max="3" width="11.109375" style="4" customWidth="1"/>
    <col min="4" max="4" width="44.5546875" style="8" customWidth="1"/>
    <col min="5" max="5" width="0" style="5" hidden="1" customWidth="1"/>
    <col min="6" max="16384" width="8.88671875" style="6"/>
  </cols>
  <sheetData>
    <row r="1" spans="1:5" x14ac:dyDescent="0.25">
      <c r="A1" s="7" t="s">
        <v>0</v>
      </c>
      <c r="B1" s="7" t="s">
        <v>442</v>
      </c>
      <c r="C1" s="1" t="s">
        <v>37</v>
      </c>
      <c r="D1" s="7" t="s">
        <v>1</v>
      </c>
    </row>
    <row r="2" spans="1:5" ht="27.6" x14ac:dyDescent="0.25">
      <c r="A2" s="18" t="s">
        <v>427</v>
      </c>
      <c r="B2" s="18" t="s">
        <v>4</v>
      </c>
      <c r="C2" s="20">
        <v>1.2</v>
      </c>
      <c r="D2" s="18" t="s">
        <v>476</v>
      </c>
      <c r="E2" s="5" t="str">
        <f>_xlfn.CONCAT("('",A2,"',","'",B2,"',","'",D2,"')")</f>
        <v>('Earthworm','Worm','The basic natural bait that attract wide range of bottom-feeding fish and omnivorous fish.')</v>
      </c>
    </row>
    <row r="3" spans="1:5" ht="27.6" x14ac:dyDescent="0.25">
      <c r="A3" s="18" t="s">
        <v>429</v>
      </c>
      <c r="B3" s="18" t="s">
        <v>4</v>
      </c>
      <c r="C3" s="20">
        <v>1.2</v>
      </c>
      <c r="D3" s="18" t="s">
        <v>477</v>
      </c>
      <c r="E3" s="5" t="str">
        <f t="shared" ref="E3:E44" si="0">_xlfn.CONCAT("('",A3,"',","'",B3,"',","'",D3,"')")</f>
        <v>('Nightcrawler','Worm','A large and lively worm that attracts bigger fish looking for an easy prey because of its movement.')</v>
      </c>
    </row>
    <row r="4" spans="1:5" ht="27.6" x14ac:dyDescent="0.25">
      <c r="A4" s="18" t="s">
        <v>474</v>
      </c>
      <c r="B4" s="18" t="s">
        <v>4</v>
      </c>
      <c r="C4" s="20">
        <v>2.2999999999999998</v>
      </c>
      <c r="D4" s="18" t="s">
        <v>478</v>
      </c>
      <c r="E4" s="5" t="str">
        <f t="shared" si="0"/>
        <v>('Ragworm','Worm','A tough marine worm that attracts aggressive predators lives in brackish and seawater.')</v>
      </c>
    </row>
    <row r="5" spans="1:5" ht="27.6" x14ac:dyDescent="0.25">
      <c r="A5" s="18" t="s">
        <v>430</v>
      </c>
      <c r="B5" s="18" t="s">
        <v>4</v>
      </c>
      <c r="C5" s="20" t="s">
        <v>473</v>
      </c>
      <c r="D5" s="18" t="s">
        <v>479</v>
      </c>
      <c r="E5" s="5" t="str">
        <f t="shared" si="0"/>
        <v>('Bloodworm','Worm','Bright red larvae rich in nutrients, irresistible to many insect-eating and bottom-feeding fish.')</v>
      </c>
    </row>
    <row r="6" spans="1:5" ht="27.6" x14ac:dyDescent="0.25">
      <c r="A6" s="18" t="s">
        <v>443</v>
      </c>
      <c r="B6" s="18" t="s">
        <v>4</v>
      </c>
      <c r="C6" s="20">
        <v>2.2999999999999998</v>
      </c>
      <c r="D6" s="18" t="s">
        <v>480</v>
      </c>
      <c r="E6" s="5" t="str">
        <f t="shared" si="0"/>
        <v>('Sandworm','Worm','A worm living inside a sandy bottom is targeted by fish that forage on the bottom of the water.')</v>
      </c>
    </row>
    <row r="7" spans="1:5" ht="27.6" x14ac:dyDescent="0.25">
      <c r="A7" s="18" t="s">
        <v>445</v>
      </c>
      <c r="B7" s="18" t="s">
        <v>444</v>
      </c>
      <c r="C7" s="20">
        <v>1.2</v>
      </c>
      <c r="D7" s="18" t="s">
        <v>481</v>
      </c>
      <c r="E7" s="5" t="str">
        <f t="shared" si="0"/>
        <v>('River Shrimp','Crustacean','A type of crustacean favored by freshwater and brackish predators.')</v>
      </c>
    </row>
    <row r="8" spans="1:5" ht="27.6" x14ac:dyDescent="0.25">
      <c r="A8" s="15" t="s">
        <v>446</v>
      </c>
      <c r="B8" s="18" t="s">
        <v>444</v>
      </c>
      <c r="C8" s="20">
        <v>2.2999999999999998</v>
      </c>
      <c r="D8" s="18" t="s">
        <v>482</v>
      </c>
      <c r="E8" s="5" t="str">
        <f t="shared" si="0"/>
        <v>('Small Crab','Crustacean','A small crustacean, a highly sought-after fish not bothered by the shell.')</v>
      </c>
    </row>
    <row r="9" spans="1:5" ht="27.6" x14ac:dyDescent="0.25">
      <c r="A9" s="15" t="s">
        <v>447</v>
      </c>
      <c r="B9" s="18" t="s">
        <v>444</v>
      </c>
      <c r="C9" s="20" t="s">
        <v>473</v>
      </c>
      <c r="D9" s="18" t="s">
        <v>483</v>
      </c>
      <c r="E9" s="5" t="str">
        <f t="shared" si="0"/>
        <v>('Prawn','Crustacean','A large meaty crustacean, irresistible to omnivorous fish and predator alike.')</v>
      </c>
    </row>
    <row r="10" spans="1:5" ht="27.6" x14ac:dyDescent="0.25">
      <c r="A10" s="15" t="s">
        <v>472</v>
      </c>
      <c r="B10" s="18" t="s">
        <v>444</v>
      </c>
      <c r="C10" s="20" t="s">
        <v>473</v>
      </c>
      <c r="D10" s="18" t="s">
        <v>484</v>
      </c>
      <c r="E10" s="5" t="str">
        <f t="shared" si="0"/>
        <v>('Shrimp','Crustacean','A small freshwater crustacean that attracts fish that hunting aquatic prey.')</v>
      </c>
    </row>
    <row r="11" spans="1:5" ht="41.4" x14ac:dyDescent="0.25">
      <c r="A11" s="15" t="s">
        <v>437</v>
      </c>
      <c r="B11" s="18" t="s">
        <v>444</v>
      </c>
      <c r="C11" s="20">
        <v>1</v>
      </c>
      <c r="D11" s="18" t="s">
        <v>485</v>
      </c>
      <c r="E11" s="5" t="str">
        <f t="shared" si="0"/>
        <v>('Crayfish','Crustacean','A freshwater crustacean is highly effective in attracting large predatory fish lurking near the bottom.')</v>
      </c>
    </row>
    <row r="12" spans="1:5" ht="27.6" x14ac:dyDescent="0.25">
      <c r="A12" s="15" t="s">
        <v>432</v>
      </c>
      <c r="B12" s="15" t="s">
        <v>448</v>
      </c>
      <c r="C12" s="13">
        <v>1</v>
      </c>
      <c r="D12" s="18" t="s">
        <v>486</v>
      </c>
      <c r="E12" s="5" t="str">
        <f t="shared" si="0"/>
        <v>('Beetle Grub','Larvae','A soft-bodied larva packed with protein necessary to attracts insect lover fish.')</v>
      </c>
    </row>
    <row r="13" spans="1:5" ht="27.6" x14ac:dyDescent="0.25">
      <c r="A13" s="15" t="s">
        <v>431</v>
      </c>
      <c r="B13" s="15" t="s">
        <v>448</v>
      </c>
      <c r="C13" s="13">
        <v>1</v>
      </c>
      <c r="D13" s="18" t="s">
        <v>488</v>
      </c>
      <c r="E13" s="5" t="str">
        <f t="shared" si="0"/>
        <v>('Mealworm','Larvae','A wriggling larvae that appeals to fish hunting for food near the surface of the water.')</v>
      </c>
    </row>
    <row r="14" spans="1:5" ht="27.6" x14ac:dyDescent="0.25">
      <c r="A14" s="15" t="s">
        <v>436</v>
      </c>
      <c r="B14" s="15" t="s">
        <v>448</v>
      </c>
      <c r="C14" s="13">
        <v>1</v>
      </c>
      <c r="D14" s="18" t="s">
        <v>487</v>
      </c>
      <c r="E14" s="5" t="str">
        <f t="shared" si="0"/>
        <v>('Dragonfly Nymph','Larvae','An aquatic insect larva is preyed upon by many freshwater fish.')</v>
      </c>
    </row>
    <row r="15" spans="1:5" ht="27.6" x14ac:dyDescent="0.25">
      <c r="A15" s="15" t="s">
        <v>449</v>
      </c>
      <c r="B15" s="15" t="s">
        <v>448</v>
      </c>
      <c r="C15" s="13">
        <v>1</v>
      </c>
      <c r="D15" s="18" t="s">
        <v>489</v>
      </c>
      <c r="E15" s="5" t="str">
        <f t="shared" si="0"/>
        <v>('Water Beetle Larva','Larvae','A juicy aquatic larva that is hunted by fish searching for underwater insects.')</v>
      </c>
    </row>
    <row r="16" spans="1:5" x14ac:dyDescent="0.25">
      <c r="A16" s="15" t="s">
        <v>450</v>
      </c>
      <c r="B16" s="15" t="s">
        <v>448</v>
      </c>
      <c r="C16" s="13">
        <v>1</v>
      </c>
      <c r="D16" s="18" t="s">
        <v>490</v>
      </c>
      <c r="E16" s="5" t="str">
        <f t="shared" si="0"/>
        <v>('Superworm','Larvae','A larger worm that attracts bigger insectivorous fish.')</v>
      </c>
    </row>
    <row r="17" spans="1:5" ht="27.6" x14ac:dyDescent="0.25">
      <c r="A17" s="15" t="s">
        <v>433</v>
      </c>
      <c r="B17" s="15" t="s">
        <v>451</v>
      </c>
      <c r="C17" s="13">
        <v>1.2</v>
      </c>
      <c r="D17" s="18" t="s">
        <v>491</v>
      </c>
      <c r="E17" s="5" t="str">
        <f t="shared" si="0"/>
        <v>('Grasshopper','Insect','A surface insect that draws attention from fish that are waiting for an insect to fall into the water.')</v>
      </c>
    </row>
    <row r="18" spans="1:5" ht="27.6" x14ac:dyDescent="0.25">
      <c r="A18" s="15" t="s">
        <v>434</v>
      </c>
      <c r="B18" s="15" t="s">
        <v>451</v>
      </c>
      <c r="C18" s="13">
        <v>1.2</v>
      </c>
      <c r="D18" s="18" t="s">
        <v>492</v>
      </c>
      <c r="E18" s="5" t="str">
        <f t="shared" si="0"/>
        <v>('Cricket','Insect','A lively insect that moves constantly, attracting opportunistic fish.')</v>
      </c>
    </row>
    <row r="19" spans="1:5" ht="27.6" x14ac:dyDescent="0.25">
      <c r="A19" s="15" t="s">
        <v>452</v>
      </c>
      <c r="B19" s="15" t="s">
        <v>451</v>
      </c>
      <c r="C19" s="13">
        <v>1</v>
      </c>
      <c r="D19" s="18" t="s">
        <v>493</v>
      </c>
      <c r="E19" s="5" t="str">
        <f t="shared" si="0"/>
        <v>('Locust','Insect','A large insect offering a big meal for surface-feeding fish.')</v>
      </c>
    </row>
    <row r="20" spans="1:5" ht="27.6" x14ac:dyDescent="0.25">
      <c r="A20" s="15" t="s">
        <v>435</v>
      </c>
      <c r="B20" s="15" t="s">
        <v>451</v>
      </c>
      <c r="C20" s="13">
        <v>1</v>
      </c>
      <c r="D20" s="18" t="s">
        <v>494</v>
      </c>
      <c r="E20" s="5" t="str">
        <f t="shared" si="0"/>
        <v>('Cicada','Insect','A seasonal insect that fish loved, eagerly waiting for it to drop to water.')</v>
      </c>
    </row>
    <row r="21" spans="1:5" ht="27.6" x14ac:dyDescent="0.25">
      <c r="A21" s="15" t="s">
        <v>453</v>
      </c>
      <c r="B21" s="15" t="s">
        <v>451</v>
      </c>
      <c r="C21" s="13">
        <v>1</v>
      </c>
      <c r="D21" s="18" t="s">
        <v>495</v>
      </c>
      <c r="E21" s="5" t="str">
        <f t="shared" si="0"/>
        <v>('Termite','Insect','A small insect is often consumed by a swarm of fish or a school of fish.')</v>
      </c>
    </row>
    <row r="22" spans="1:5" ht="27.6" x14ac:dyDescent="0.25">
      <c r="A22" s="15" t="s">
        <v>439</v>
      </c>
      <c r="B22" s="15" t="s">
        <v>454</v>
      </c>
      <c r="C22" s="13" t="s">
        <v>473</v>
      </c>
      <c r="D22" s="18" t="s">
        <v>496</v>
      </c>
      <c r="E22" s="5" t="str">
        <f t="shared" si="0"/>
        <v>('Mussel Meat','Mollusk','Soft shellfish meat that has a strong scent that attracts bottom-feeding fish.')</v>
      </c>
    </row>
    <row r="23" spans="1:5" ht="27.6" x14ac:dyDescent="0.25">
      <c r="A23" s="18" t="s">
        <v>438</v>
      </c>
      <c r="B23" s="15" t="s">
        <v>454</v>
      </c>
      <c r="C23" s="13">
        <v>1</v>
      </c>
      <c r="D23" s="18" t="s">
        <v>497</v>
      </c>
      <c r="E23" s="5" t="str">
        <f t="shared" si="0"/>
        <v>('Pond Snail','Mollusk','A common freshwater mollusk that loves the taste of shelled animal.')</v>
      </c>
    </row>
    <row r="24" spans="1:5" ht="27.6" x14ac:dyDescent="0.25">
      <c r="A24" s="18" t="s">
        <v>471</v>
      </c>
      <c r="B24" s="15" t="s">
        <v>454</v>
      </c>
      <c r="C24" s="13">
        <v>1</v>
      </c>
      <c r="D24" s="18" t="s">
        <v>498</v>
      </c>
      <c r="E24" s="5" t="str">
        <f t="shared" si="0"/>
        <v>('Clam Meat','Mollusk','Tender clam meat that releases a scent, irresistible to bottom-feeding fish, even humans.')</v>
      </c>
    </row>
    <row r="25" spans="1:5" ht="27.6" x14ac:dyDescent="0.25">
      <c r="A25" s="18" t="s">
        <v>455</v>
      </c>
      <c r="B25" s="15" t="s">
        <v>454</v>
      </c>
      <c r="C25" s="13">
        <v>2.2999999999999998</v>
      </c>
      <c r="D25" s="18" t="s">
        <v>499</v>
      </c>
      <c r="E25" s="5" t="str">
        <f t="shared" si="0"/>
        <v>('Cockle Meat','Mollusk','A salty shellfish popular among brackish and coastal fish.')</v>
      </c>
    </row>
    <row r="26" spans="1:5" ht="27.6" x14ac:dyDescent="0.25">
      <c r="A26" s="15" t="s">
        <v>456</v>
      </c>
      <c r="B26" s="15" t="s">
        <v>454</v>
      </c>
      <c r="C26" s="13">
        <v>2.2999999999999998</v>
      </c>
      <c r="D26" s="18" t="s">
        <v>500</v>
      </c>
      <c r="E26" s="5" t="str">
        <f t="shared" si="0"/>
        <v>('Oyster Meat','Mollusk','Rich, oily meat that attracts fish relying on scent to locate their food.')</v>
      </c>
    </row>
    <row r="27" spans="1:5" ht="27.6" x14ac:dyDescent="0.25">
      <c r="A27" s="15" t="s">
        <v>6</v>
      </c>
      <c r="B27" s="15" t="s">
        <v>145</v>
      </c>
      <c r="C27" s="13">
        <v>1.2</v>
      </c>
      <c r="D27" s="18" t="s">
        <v>501</v>
      </c>
      <c r="E27" s="5" t="str">
        <f t="shared" si="0"/>
        <v>('Minnow','Fish','A live baitfish that attracts larger fish that are hunting small fish.')</v>
      </c>
    </row>
    <row r="28" spans="1:5" ht="27.6" x14ac:dyDescent="0.25">
      <c r="A28" s="15" t="s">
        <v>457</v>
      </c>
      <c r="B28" s="15" t="s">
        <v>145</v>
      </c>
      <c r="C28" s="13">
        <v>2.2999999999999998</v>
      </c>
      <c r="D28" s="18" t="s">
        <v>502</v>
      </c>
      <c r="E28" s="5" t="str">
        <f t="shared" si="0"/>
        <v>('Sardine','Fish','An oily baitfish that produces a scent trail irresistible to marine predators.')</v>
      </c>
    </row>
    <row r="29" spans="1:5" x14ac:dyDescent="0.25">
      <c r="A29" s="15" t="s">
        <v>458</v>
      </c>
      <c r="B29" s="15" t="s">
        <v>145</v>
      </c>
      <c r="C29" s="13">
        <v>2.2999999999999998</v>
      </c>
      <c r="D29" s="18" t="s">
        <v>503</v>
      </c>
      <c r="E29" s="5" t="str">
        <f t="shared" si="0"/>
        <v>('Anchovy','Fish','A small baitfish is attractive to schooling predators.')</v>
      </c>
    </row>
    <row r="30" spans="1:5" x14ac:dyDescent="0.25">
      <c r="A30" s="15" t="s">
        <v>459</v>
      </c>
      <c r="B30" s="15" t="s">
        <v>145</v>
      </c>
      <c r="C30" s="13">
        <v>1</v>
      </c>
      <c r="D30" s="18" t="s">
        <v>504</v>
      </c>
      <c r="E30" s="5" t="str">
        <f t="shared" si="0"/>
        <v>('Juvenile Carp','Fish','A small carp that attracts larger freshwater predators.')</v>
      </c>
    </row>
    <row r="31" spans="1:5" x14ac:dyDescent="0.25">
      <c r="A31" s="15" t="s">
        <v>460</v>
      </c>
      <c r="B31" s="15" t="s">
        <v>145</v>
      </c>
      <c r="C31" s="13">
        <v>1</v>
      </c>
      <c r="D31" s="18" t="s">
        <v>505</v>
      </c>
      <c r="E31" s="5" t="str">
        <f t="shared" si="0"/>
        <v>('Juvenile Perch','Fish','A natural prey for some large carnivorous fish.')</v>
      </c>
    </row>
    <row r="32" spans="1:5" ht="41.4" x14ac:dyDescent="0.25">
      <c r="A32" s="15" t="s">
        <v>464</v>
      </c>
      <c r="B32" s="15" t="s">
        <v>461</v>
      </c>
      <c r="C32" s="13">
        <v>1</v>
      </c>
      <c r="D32" s="18" t="s">
        <v>506</v>
      </c>
      <c r="E32" s="5" t="str">
        <f t="shared" si="0"/>
        <v>('Beef Meat','Meat','A chunk of meat whose strong scent is really effective to attracts scavenger and opportunistic predator fish.')</v>
      </c>
    </row>
    <row r="33" spans="1:5" ht="27.6" x14ac:dyDescent="0.25">
      <c r="A33" s="15" t="s">
        <v>463</v>
      </c>
      <c r="B33" s="15" t="s">
        <v>461</v>
      </c>
      <c r="C33" s="13">
        <v>1</v>
      </c>
      <c r="D33" s="18" t="s">
        <v>507</v>
      </c>
      <c r="E33" s="5" t="str">
        <f t="shared" si="0"/>
        <v>('Pork Meat','Meat','Fatty meat for an unusual fish that is not afraid to try anything new.')</v>
      </c>
    </row>
    <row r="34" spans="1:5" ht="27.6" x14ac:dyDescent="0.25">
      <c r="A34" s="15" t="s">
        <v>462</v>
      </c>
      <c r="B34" s="15" t="s">
        <v>461</v>
      </c>
      <c r="C34" s="13" t="s">
        <v>473</v>
      </c>
      <c r="D34" s="18" t="s">
        <v>508</v>
      </c>
      <c r="E34" s="5" t="str">
        <f t="shared" si="0"/>
        <v>('Chicken Meat','Meat','Tender meat is used to attract omnivorous and predator fish alike.')</v>
      </c>
    </row>
    <row r="35" spans="1:5" ht="27.6" x14ac:dyDescent="0.25">
      <c r="A35" s="15" t="s">
        <v>465</v>
      </c>
      <c r="B35" s="15" t="s">
        <v>461</v>
      </c>
      <c r="C35" s="13" t="s">
        <v>473</v>
      </c>
      <c r="D35" s="18" t="s">
        <v>509</v>
      </c>
      <c r="E35" s="5" t="str">
        <f t="shared" si="0"/>
        <v>('Chicken Heart','Meat','Dense and durable bait that stays on the hook even after being peck by predators.')</v>
      </c>
    </row>
    <row r="36" spans="1:5" ht="27.6" x14ac:dyDescent="0.25">
      <c r="A36" s="15" t="s">
        <v>466</v>
      </c>
      <c r="B36" s="15" t="s">
        <v>461</v>
      </c>
      <c r="C36" s="13">
        <v>1</v>
      </c>
      <c r="D36" s="18" t="s">
        <v>510</v>
      </c>
      <c r="E36" s="5" t="str">
        <f t="shared" si="0"/>
        <v>('Pork Intestine','Meat','Tough, oily intestine that release strong scent to attract big predator.')</v>
      </c>
    </row>
    <row r="37" spans="1:5" ht="27.6" x14ac:dyDescent="0.25">
      <c r="A37" s="15" t="s">
        <v>3</v>
      </c>
      <c r="B37" s="15" t="s">
        <v>475</v>
      </c>
      <c r="C37" s="13">
        <v>1</v>
      </c>
      <c r="D37" s="18" t="s">
        <v>511</v>
      </c>
      <c r="E37" s="5" t="str">
        <f t="shared" si="0"/>
        <v>('Bread','Produce','A simple bait to catch herbivorous and omnivorous fish.')</v>
      </c>
    </row>
    <row r="38" spans="1:5" ht="27.6" x14ac:dyDescent="0.25">
      <c r="A38" s="15" t="s">
        <v>5</v>
      </c>
      <c r="B38" s="15" t="s">
        <v>475</v>
      </c>
      <c r="C38" s="13">
        <v>1</v>
      </c>
      <c r="D38" s="18" t="s">
        <v>512</v>
      </c>
      <c r="E38" s="5" t="str">
        <f t="shared" si="0"/>
        <v>('Dough','Produce','Soft and moldable bait commonly used for fish that feed on plants and grain matter.')</v>
      </c>
    </row>
    <row r="39" spans="1:5" ht="27.6" x14ac:dyDescent="0.25">
      <c r="A39" s="15" t="s">
        <v>441</v>
      </c>
      <c r="B39" s="15" t="s">
        <v>475</v>
      </c>
      <c r="C39" s="13">
        <v>1</v>
      </c>
      <c r="D39" s="18" t="s">
        <v>513</v>
      </c>
      <c r="E39" s="5" t="str">
        <f t="shared" si="0"/>
        <v>('Sweet Corn','Produce','Attract curious omnivorous fish with its color and sweet scent.')</v>
      </c>
    </row>
    <row r="40" spans="1:5" ht="27.6" x14ac:dyDescent="0.25">
      <c r="A40" s="15" t="s">
        <v>440</v>
      </c>
      <c r="B40" s="15" t="s">
        <v>475</v>
      </c>
      <c r="C40" s="13">
        <v>1</v>
      </c>
      <c r="D40" s="18" t="s">
        <v>514</v>
      </c>
      <c r="E40" s="5" t="str">
        <f t="shared" si="0"/>
        <v>('Rice','Produce','Small grain is occasionally eaten by fish lived near farm water.')</v>
      </c>
    </row>
    <row r="41" spans="1:5" ht="27.6" x14ac:dyDescent="0.25">
      <c r="A41" s="15" t="s">
        <v>428</v>
      </c>
      <c r="B41" s="15" t="s">
        <v>475</v>
      </c>
      <c r="C41" s="13">
        <v>1</v>
      </c>
      <c r="D41" s="18" t="s">
        <v>515</v>
      </c>
      <c r="E41" s="5" t="str">
        <f t="shared" si="0"/>
        <v>('Cheese','Produce','A pungent dairy bait whose rich aroma attracts omnivorous and scent-driven fish.')</v>
      </c>
    </row>
    <row r="42" spans="1:5" ht="27.6" x14ac:dyDescent="0.25">
      <c r="A42" s="15" t="s">
        <v>468</v>
      </c>
      <c r="B42" s="15" t="s">
        <v>467</v>
      </c>
      <c r="C42" s="13">
        <v>2.2999999999999998</v>
      </c>
      <c r="D42" s="18" t="s">
        <v>516</v>
      </c>
      <c r="E42" s="5" t="str">
        <f t="shared" si="0"/>
        <v>('Squid Strip','Cephalopods','Tough, chewy strip of flesh that stays on the hook attracting saltwater predators.')</v>
      </c>
    </row>
    <row r="43" spans="1:5" ht="27.6" x14ac:dyDescent="0.25">
      <c r="A43" s="15" t="s">
        <v>469</v>
      </c>
      <c r="B43" s="15" t="s">
        <v>467</v>
      </c>
      <c r="C43" s="13">
        <v>2.2999999999999998</v>
      </c>
      <c r="D43" s="18" t="s">
        <v>517</v>
      </c>
      <c r="E43" s="5" t="str">
        <f t="shared" si="0"/>
        <v>('Cuttlefish Strip','Cephalopods','Meaty strip of flesh with a rich scent, good for attracting marine predator.')</v>
      </c>
    </row>
    <row r="44" spans="1:5" ht="27.6" x14ac:dyDescent="0.25">
      <c r="A44" s="15" t="s">
        <v>470</v>
      </c>
      <c r="B44" s="15" t="s">
        <v>467</v>
      </c>
      <c r="C44" s="13">
        <v>2.2999999999999998</v>
      </c>
      <c r="D44" s="18" t="s">
        <v>518</v>
      </c>
      <c r="E44" s="5" t="str">
        <f t="shared" si="0"/>
        <v>('Octopus Strip','Cephalopods','Firm flesh that is good for attracting powerful predator on the ocean.')</v>
      </c>
    </row>
  </sheetData>
  <autoFilter ref="A1:D1" xr:uid="{BEE740DA-B477-45BF-81B5-E0EFA8CDE1AC}"/>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F214-A82C-481F-A2D1-0726174E9268}">
  <sheetPr codeName="Sheet4"/>
  <dimension ref="A1:D19"/>
  <sheetViews>
    <sheetView workbookViewId="0">
      <pane ySplit="1" topLeftCell="A2" activePane="bottomLeft" state="frozen"/>
      <selection pane="bottomLeft" activeCell="D1" sqref="D1:D1048576"/>
    </sheetView>
  </sheetViews>
  <sheetFormatPr defaultColWidth="8.88671875" defaultRowHeight="13.8" x14ac:dyDescent="0.25"/>
  <cols>
    <col min="1" max="1" width="17.33203125" style="3" bestFit="1" customWidth="1"/>
    <col min="2" max="2" width="14.6640625" style="3" customWidth="1"/>
    <col min="3" max="3" width="46" style="2" customWidth="1"/>
    <col min="4" max="4" width="0" style="6" hidden="1" customWidth="1"/>
    <col min="5" max="16384" width="8.88671875" style="6"/>
  </cols>
  <sheetData>
    <row r="1" spans="1:4" x14ac:dyDescent="0.25">
      <c r="A1" s="22" t="s">
        <v>0</v>
      </c>
      <c r="B1" s="22" t="s">
        <v>533</v>
      </c>
      <c r="C1" s="11" t="s">
        <v>1</v>
      </c>
    </row>
    <row r="2" spans="1:4" ht="41.4" x14ac:dyDescent="0.25">
      <c r="A2" s="12" t="s">
        <v>519</v>
      </c>
      <c r="B2" s="12">
        <v>1</v>
      </c>
      <c r="C2" s="14" t="s">
        <v>535</v>
      </c>
      <c r="D2" s="5" t="str">
        <f>_xlfn.CONCAT("('",A2,"',",B2,",","'",C2,"'),")</f>
        <v>('Bamboo Pole',1,'The most basic fishing pole, perfect for a beginner who is learning the art of fishing. Lightweight and surprisingly durable.'),</v>
      </c>
    </row>
    <row r="3" spans="1:4" ht="41.4" x14ac:dyDescent="0.25">
      <c r="A3" s="12" t="s">
        <v>550</v>
      </c>
      <c r="B3" s="12">
        <v>1</v>
      </c>
      <c r="C3" s="14" t="s">
        <v>554</v>
      </c>
      <c r="D3" s="5" t="str">
        <f t="shared" ref="D3:D19" si="0">_xlfn.CONCAT("('",A3,"',",B3,",","'",C3,"'),")</f>
        <v>('Reed Pole',1,'Pole that was crafted by bundling a bunch of reeds together. Lightweight rod that is easy to carry, but lacks power.'),</v>
      </c>
    </row>
    <row r="4" spans="1:4" ht="27.6" x14ac:dyDescent="0.25">
      <c r="A4" s="12" t="s">
        <v>520</v>
      </c>
      <c r="B4" s="12">
        <v>1</v>
      </c>
      <c r="C4" s="14" t="s">
        <v>536</v>
      </c>
      <c r="D4" s="5" t="str">
        <f t="shared" si="0"/>
        <v>('Willow Pole',1,'Made from a flexible willow wood, it bends easily under pressure, helping it from snapping.'),</v>
      </c>
    </row>
    <row r="5" spans="1:4" ht="27.6" x14ac:dyDescent="0.25">
      <c r="A5" s="12" t="s">
        <v>521</v>
      </c>
      <c r="B5" s="12">
        <v>1</v>
      </c>
      <c r="C5" s="14" t="s">
        <v>537</v>
      </c>
      <c r="D5" s="5" t="str">
        <f t="shared" si="0"/>
        <v>('Hazel Pole',1,'A sturdy pole, valued for its balance of strength and flexibility, making it a good choice for everyday uses.'),</v>
      </c>
    </row>
    <row r="6" spans="1:4" ht="41.4" x14ac:dyDescent="0.25">
      <c r="A6" s="12" t="s">
        <v>551</v>
      </c>
      <c r="B6" s="12">
        <v>1</v>
      </c>
      <c r="C6" s="14" t="s">
        <v>553</v>
      </c>
      <c r="D6" s="5" t="str">
        <f t="shared" si="0"/>
        <v>('Ash Pole',1,'Made from a resilient ash wood, this pole offers excellent durability and reliable performance in a variety of water.'),</v>
      </c>
    </row>
    <row r="7" spans="1:4" ht="27.6" x14ac:dyDescent="0.25">
      <c r="A7" s="12" t="s">
        <v>552</v>
      </c>
      <c r="B7" s="12">
        <v>1</v>
      </c>
      <c r="C7" s="14" t="s">
        <v>555</v>
      </c>
      <c r="D7" s="5" t="str">
        <f t="shared" si="0"/>
        <v>('Hickory Pole',1,'Built from a dense hickory wood, this pole is favored by fishermen that trying to catch big predator fish.'),</v>
      </c>
    </row>
    <row r="8" spans="1:4" ht="27.6" x14ac:dyDescent="0.25">
      <c r="A8" s="12" t="s">
        <v>522</v>
      </c>
      <c r="B8" s="12">
        <v>2</v>
      </c>
      <c r="C8" s="14" t="s">
        <v>538</v>
      </c>
      <c r="D8" s="5" t="str">
        <f t="shared" si="0"/>
        <v>('Birch Rod',2,'A lightweight rod with a smooth pole, offering improved handling during long periods of fishing trips.'),</v>
      </c>
    </row>
    <row r="9" spans="1:4" ht="41.4" x14ac:dyDescent="0.25">
      <c r="A9" s="12" t="s">
        <v>523</v>
      </c>
      <c r="B9" s="12">
        <v>2</v>
      </c>
      <c r="C9" s="14" t="s">
        <v>539</v>
      </c>
      <c r="D9" s="5" t="str">
        <f t="shared" si="0"/>
        <v>('Maple Rod',2,'Carved from a hard maple wood, this well-balanced rod provides dependable control necessary to catch a big fish.'),</v>
      </c>
    </row>
    <row r="10" spans="1:4" ht="41.4" x14ac:dyDescent="0.25">
      <c r="A10" s="12" t="s">
        <v>524</v>
      </c>
      <c r="B10" s="12">
        <v>2</v>
      </c>
      <c r="C10" s="14" t="s">
        <v>540</v>
      </c>
      <c r="D10" s="5" t="str">
        <f t="shared" si="0"/>
        <v>('Elm Rod',2,'Known for its durability and resistance to splitting, the elm rod can withstand repeated use even in more demanding conditions.'),</v>
      </c>
    </row>
    <row r="11" spans="1:4" ht="41.4" x14ac:dyDescent="0.25">
      <c r="A11" s="12" t="s">
        <v>525</v>
      </c>
      <c r="B11" s="12">
        <v>2</v>
      </c>
      <c r="C11" s="14" t="s">
        <v>541</v>
      </c>
      <c r="D11" s="5" t="str">
        <f t="shared" si="0"/>
        <v>('Cedar Rod',2,'Crafted from an aromatic cedar wood, this lightweight rod naturally resist moisture and decay making it ideal for fishing at a damp environment'),</v>
      </c>
    </row>
    <row r="12" spans="1:4" ht="41.4" x14ac:dyDescent="0.25">
      <c r="A12" s="12" t="s">
        <v>527</v>
      </c>
      <c r="B12" s="12">
        <v>2</v>
      </c>
      <c r="C12" s="14" t="s">
        <v>542</v>
      </c>
      <c r="D12" s="5" t="str">
        <f t="shared" si="0"/>
        <v>('Walnut Rod',2,'A finely crafted rod using walnut wood, this rod has an elegant appearance and dependable strength for catching larger fish.'),</v>
      </c>
    </row>
    <row r="13" spans="1:4" ht="27.6" x14ac:dyDescent="0.25">
      <c r="A13" s="12" t="s">
        <v>526</v>
      </c>
      <c r="B13" s="12">
        <v>3</v>
      </c>
      <c r="C13" s="14" t="s">
        <v>543</v>
      </c>
      <c r="D13" s="5" t="str">
        <f t="shared" si="0"/>
        <v>('Juniper Rod',3,'Made from resilient juniper wood, making it a great rod naturally resistant to the elements.'),</v>
      </c>
    </row>
    <row r="14" spans="1:4" ht="41.4" x14ac:dyDescent="0.25">
      <c r="A14" s="12" t="s">
        <v>528</v>
      </c>
      <c r="B14" s="12">
        <v>3</v>
      </c>
      <c r="C14" s="14" t="s">
        <v>544</v>
      </c>
      <c r="D14" s="5" t="str">
        <f t="shared" si="0"/>
        <v>('Ebony Rod',3,'Forged from a rare ebony wood, its dense wood structure provide remarkable strength while also showing a fancy dark finish.'),</v>
      </c>
    </row>
    <row r="15" spans="1:4" ht="55.2" x14ac:dyDescent="0.25">
      <c r="A15" s="12" t="s">
        <v>529</v>
      </c>
      <c r="B15" s="12">
        <v>3</v>
      </c>
      <c r="C15" s="14" t="s">
        <v>545</v>
      </c>
      <c r="D15" s="5" t="str">
        <f t="shared" si="0"/>
        <v>('Rosewood Rod',3,'A beautifully crafted grained rod made from a premium rosewood found only on Rosegleam, with an exceptional craftmanship and reliable performance, its no wonder noble family prefer this type of rod.'),</v>
      </c>
    </row>
    <row r="16" spans="1:4" ht="41.4" x14ac:dyDescent="0.25">
      <c r="A16" s="12" t="s">
        <v>530</v>
      </c>
      <c r="B16" s="12">
        <v>3</v>
      </c>
      <c r="C16" s="14" t="s">
        <v>546</v>
      </c>
      <c r="D16" s="5" t="str">
        <f t="shared" si="0"/>
        <v>('Ironwood Rod',3,'Constructed from a rare ironwood, native to the city of Ourea, this incredibly durable rod is built to withstand even the fiercest battle with a giant fish.'),</v>
      </c>
    </row>
    <row r="17" spans="1:4" ht="55.2" x14ac:dyDescent="0.25">
      <c r="A17" s="12" t="s">
        <v>531</v>
      </c>
      <c r="B17" s="12">
        <v>4</v>
      </c>
      <c r="C17" s="14" t="s">
        <v>547</v>
      </c>
      <c r="D17" s="5" t="str">
        <f t="shared" si="0"/>
        <v>('Yew Wood Rod ',4,'Crafted from the legendary Yew tree, this rod is said to be able to catch even the Jormungard itself. With a beautiful finish and durable performance, this rod is a dream rod for Tidehaven fishermen.'),</v>
      </c>
    </row>
    <row r="18" spans="1:4" ht="55.2" x14ac:dyDescent="0.25">
      <c r="A18" s="12" t="s">
        <v>532</v>
      </c>
      <c r="B18" s="12">
        <v>4</v>
      </c>
      <c r="C18" s="14" t="s">
        <v>548</v>
      </c>
      <c r="D18" s="5" t="str">
        <f t="shared" si="0"/>
        <v>('Dragonwood Rod',4,'This rod was crafted using the mutated tree known as Dragonwood, the characteristic of the wood transfer over to the rod. Warm to the touch and easy to handle, this rod able to catch the biggest fish there is.'),</v>
      </c>
    </row>
    <row r="19" spans="1:4" ht="41.4" x14ac:dyDescent="0.25">
      <c r="A19" s="12" t="s">
        <v>534</v>
      </c>
      <c r="B19" s="12">
        <v>4</v>
      </c>
      <c r="C19" s="14" t="s">
        <v>549</v>
      </c>
      <c r="D19" s="5" t="str">
        <f t="shared" si="0"/>
        <v>('Crimson Wood Rod',4,'Native to the woods of Seran forest, this crimson rod can withstand the harshest battle among the biggest fish in Endral.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DB04-9343-4C49-91F5-9D2C45772DD9}">
  <sheetPr codeName="Sheet5"/>
  <dimension ref="A1:P102"/>
  <sheetViews>
    <sheetView workbookViewId="0">
      <pane ySplit="1" topLeftCell="A2" activePane="bottomLeft" state="frozen"/>
      <selection pane="bottomLeft" activeCell="N1" sqref="N1:P1048576"/>
    </sheetView>
  </sheetViews>
  <sheetFormatPr defaultColWidth="8.88671875" defaultRowHeight="13.8" x14ac:dyDescent="0.3"/>
  <cols>
    <col min="1" max="1" width="23" style="12" bestFit="1" customWidth="1"/>
    <col min="2" max="2" width="10.5546875" style="12" bestFit="1" customWidth="1"/>
    <col min="3" max="3" width="11.33203125" style="12" bestFit="1" customWidth="1"/>
    <col min="4" max="4" width="10.6640625" style="12" bestFit="1" customWidth="1"/>
    <col min="5" max="6" width="9.33203125" style="13" bestFit="1" customWidth="1"/>
    <col min="7" max="7" width="8.109375" style="13" bestFit="1" customWidth="1"/>
    <col min="8" max="8" width="8.88671875" style="13" bestFit="1" customWidth="1"/>
    <col min="9" max="9" width="10" style="13" bestFit="1" customWidth="1"/>
    <col min="10" max="10" width="52" style="14" customWidth="1"/>
    <col min="11" max="11" width="12.109375" style="14" customWidth="1"/>
    <col min="12" max="12" width="15.109375" style="14" customWidth="1"/>
    <col min="13" max="13" width="69.109375" style="14" customWidth="1"/>
    <col min="14" max="16" width="8.88671875" style="3" hidden="1" customWidth="1"/>
    <col min="17" max="16384" width="8.88671875" style="3"/>
  </cols>
  <sheetData>
    <row r="1" spans="1:16" s="2" customFormat="1" ht="27.6" x14ac:dyDescent="0.3">
      <c r="A1" s="11" t="s">
        <v>0</v>
      </c>
      <c r="B1" s="11" t="s">
        <v>37</v>
      </c>
      <c r="C1" s="11" t="s">
        <v>2</v>
      </c>
      <c r="D1" s="11" t="s">
        <v>7</v>
      </c>
      <c r="E1" s="11" t="s">
        <v>8</v>
      </c>
      <c r="F1" s="11" t="s">
        <v>9</v>
      </c>
      <c r="G1" s="11" t="s">
        <v>10</v>
      </c>
      <c r="H1" s="11" t="s">
        <v>11</v>
      </c>
      <c r="I1" s="11" t="s">
        <v>12</v>
      </c>
      <c r="J1" s="11" t="s">
        <v>1</v>
      </c>
      <c r="K1" s="11" t="s">
        <v>103</v>
      </c>
      <c r="L1" s="11" t="s">
        <v>53</v>
      </c>
      <c r="M1" s="11" t="s">
        <v>52</v>
      </c>
      <c r="N1" s="2" t="s">
        <v>1187</v>
      </c>
      <c r="O1" s="2" t="s">
        <v>1188</v>
      </c>
    </row>
    <row r="2" spans="1:16" ht="41.4" x14ac:dyDescent="0.3">
      <c r="A2" s="12" t="s">
        <v>333</v>
      </c>
      <c r="B2" s="12" t="s">
        <v>182</v>
      </c>
      <c r="C2" s="12" t="s">
        <v>268</v>
      </c>
      <c r="D2" s="12" t="s">
        <v>15</v>
      </c>
      <c r="E2" s="13">
        <v>875</v>
      </c>
      <c r="F2" s="13" t="s">
        <v>213</v>
      </c>
      <c r="G2" s="13">
        <v>1</v>
      </c>
      <c r="H2" s="13">
        <v>5</v>
      </c>
      <c r="I2" s="13">
        <v>30</v>
      </c>
      <c r="J2" s="14" t="s">
        <v>270</v>
      </c>
      <c r="K2" s="14" t="s">
        <v>64</v>
      </c>
      <c r="L2" s="14" t="s">
        <v>269</v>
      </c>
      <c r="M2" s="14" t="s">
        <v>564</v>
      </c>
      <c r="N2" s="3" cm="1">
        <f t="array" ref="N2">_xlfn.IFS(B2="Freshwater",1,B2="Brackish",2,B2="Seawater",3)</f>
        <v>2</v>
      </c>
      <c r="O2" s="3" cm="1">
        <f t="array" ref="O2">_xlfn.IFS(D2="Common",1,D2="Uncommon",2,D2="Rare",3,D2="Legendary",4,D2="Mythical",5,D2="Event",6)</f>
        <v>1</v>
      </c>
      <c r="P2" s="5" t="str">
        <f>_xlfn.CONCAT("('",A2,"',",N2,",",O2,",",E2,",",F2,",",G2,",",H2,",",I2,",","'",J2,"'),")</f>
        <v>('Banded Archerfish',2,1,875,0.1,1,5,30,'Known for its extraordinary marksmanship, the archerfish can accurately spit streams of water several body lengths to dislodge unsuspecting prey.'),</v>
      </c>
    </row>
    <row r="3" spans="1:16" ht="55.2" x14ac:dyDescent="0.3">
      <c r="A3" s="12" t="s">
        <v>331</v>
      </c>
      <c r="B3" s="12" t="s">
        <v>182</v>
      </c>
      <c r="C3" s="12" t="s">
        <v>268</v>
      </c>
      <c r="D3" s="12" t="s">
        <v>17</v>
      </c>
      <c r="E3" s="13">
        <v>350</v>
      </c>
      <c r="F3" s="13" t="s">
        <v>213</v>
      </c>
      <c r="G3" s="13">
        <v>1</v>
      </c>
      <c r="H3" s="13">
        <v>6</v>
      </c>
      <c r="I3" s="13">
        <v>40</v>
      </c>
      <c r="J3" s="14" t="s">
        <v>332</v>
      </c>
      <c r="K3" s="14" t="s">
        <v>64</v>
      </c>
      <c r="L3" s="14" t="s">
        <v>269</v>
      </c>
      <c r="M3" s="14" t="s">
        <v>565</v>
      </c>
      <c r="N3" s="3" cm="1">
        <f t="array" ref="N3">_xlfn.IFS(B3="Freshwater",1,B3="Brackish",2,B3="Seawater",3)</f>
        <v>2</v>
      </c>
      <c r="O3" s="3" cm="1">
        <f t="array" ref="O3">_xlfn.IFS(D3="Common",1,D3="Uncommon",2,D3="Rare",3,D3="Legendary",4,D3="Mythical",5,D3="Event",6)</f>
        <v>2</v>
      </c>
      <c r="P3" s="5" t="str">
        <f t="shared" ref="P3:P66" si="0">_xlfn.CONCAT("('",A3,"',",N3,",",O3,",",E3,",",F3,",",G3,",",H3,",",I3,",","'",J3,"'),")</f>
        <v>('Northern Archerfish',2,2,350,0.1,1,6,40,'The largest of the archerfish, sporting a deeper body and irregular dark markings. Its powerful water jets and impressive size make it a formidable hunter of mangrove shores.'),</v>
      </c>
    </row>
    <row r="4" spans="1:16" ht="41.4" x14ac:dyDescent="0.3">
      <c r="A4" s="12" t="s">
        <v>172</v>
      </c>
      <c r="B4" s="12" t="s">
        <v>182</v>
      </c>
      <c r="C4" s="12" t="s">
        <v>34</v>
      </c>
      <c r="D4" s="12" t="s">
        <v>17</v>
      </c>
      <c r="E4" s="13">
        <v>350</v>
      </c>
      <c r="F4" s="13" t="s">
        <v>27</v>
      </c>
      <c r="G4" s="13">
        <v>4</v>
      </c>
      <c r="H4" s="13">
        <v>23</v>
      </c>
      <c r="I4" s="13">
        <v>60</v>
      </c>
      <c r="J4" s="14" t="s">
        <v>178</v>
      </c>
      <c r="K4" s="14" t="s">
        <v>64</v>
      </c>
      <c r="L4" s="14" t="s">
        <v>56</v>
      </c>
      <c r="M4" s="14" t="s">
        <v>564</v>
      </c>
      <c r="N4" s="3" cm="1">
        <f t="array" ref="N4">_xlfn.IFS(B4="Freshwater",1,B4="Brackish",2,B4="Seawater",3)</f>
        <v>2</v>
      </c>
      <c r="O4" s="3" cm="1">
        <f t="array" ref="O4">_xlfn.IFS(D4="Common",1,D4="Uncommon",2,D4="Rare",3,D4="Legendary",4,D4="Mythical",5,D4="Event",6)</f>
        <v>2</v>
      </c>
      <c r="P4" s="5" t="str">
        <f t="shared" si="0"/>
        <v>('Black Bream',2,2,350,0.5,4,23,60,'A dark bronze estuarine bream with a deep body, known for its adaptability and strong fighting ability despite its modest size.'),</v>
      </c>
    </row>
    <row r="5" spans="1:16" ht="41.4" x14ac:dyDescent="0.3">
      <c r="A5" s="12" t="s">
        <v>180</v>
      </c>
      <c r="B5" s="12" t="s">
        <v>182</v>
      </c>
      <c r="C5" s="12" t="s">
        <v>34</v>
      </c>
      <c r="D5" s="12" t="s">
        <v>17</v>
      </c>
      <c r="E5" s="13">
        <v>450</v>
      </c>
      <c r="F5" s="13" t="s">
        <v>176</v>
      </c>
      <c r="G5" s="13" t="s">
        <v>174</v>
      </c>
      <c r="H5" s="13">
        <v>20</v>
      </c>
      <c r="I5" s="13">
        <v>58</v>
      </c>
      <c r="J5" s="14" t="s">
        <v>179</v>
      </c>
      <c r="K5" s="14" t="s">
        <v>64</v>
      </c>
      <c r="L5" s="14" t="s">
        <v>58</v>
      </c>
      <c r="M5" s="14" t="s">
        <v>566</v>
      </c>
      <c r="N5" s="3" cm="1">
        <f t="array" ref="N5">_xlfn.IFS(B5="Freshwater",1,B5="Brackish",2,B5="Seawater",3)</f>
        <v>2</v>
      </c>
      <c r="O5" s="3" cm="1">
        <f t="array" ref="O5">_xlfn.IFS(D5="Common",1,D5="Uncommon",2,D5="Rare",3,D5="Legendary",4,D5="Mythical",5,D5="Event",6)</f>
        <v>2</v>
      </c>
      <c r="P5" s="5" t="str">
        <f t="shared" si="0"/>
        <v>('Tarwhine Bream',2,2,450,0.75,4.5,20,58,'A sleek silver bream with bright yellow fins, thriving in estuaries and coastal waters while feeding on small bottom-dwelling prey.'),</v>
      </c>
    </row>
    <row r="6" spans="1:16" ht="41.4" x14ac:dyDescent="0.3">
      <c r="A6" s="12" t="s">
        <v>251</v>
      </c>
      <c r="B6" s="12" t="s">
        <v>182</v>
      </c>
      <c r="C6" s="12" t="s">
        <v>221</v>
      </c>
      <c r="D6" s="12" t="s">
        <v>17</v>
      </c>
      <c r="E6" s="13">
        <v>275</v>
      </c>
      <c r="F6" s="13" t="s">
        <v>253</v>
      </c>
      <c r="G6" s="13">
        <v>3</v>
      </c>
      <c r="H6" s="13">
        <v>15</v>
      </c>
      <c r="I6" s="13">
        <v>64</v>
      </c>
      <c r="J6" s="14" t="s">
        <v>254</v>
      </c>
      <c r="K6" s="14" t="s">
        <v>183</v>
      </c>
      <c r="L6" s="14" t="s">
        <v>252</v>
      </c>
      <c r="M6" s="14" t="s">
        <v>567</v>
      </c>
      <c r="N6" s="3" cm="1">
        <f t="array" ref="N6">_xlfn.IFS(B6="Freshwater",1,B6="Brackish",2,B6="Seawater",3)</f>
        <v>2</v>
      </c>
      <c r="O6" s="3" cm="1">
        <f t="array" ref="O6">_xlfn.IFS(D6="Common",1,D6="Uncommon",2,D6="Rare",3,D6="Legendary",4,D6="Mythical",5,D6="Event",6)</f>
        <v>2</v>
      </c>
      <c r="P6" s="5" t="str">
        <f t="shared" si="0"/>
        <v>('Hardhead Catfish',2,2,275,0.45,3,15,64,'Hardhead catfish are generally regarded as an undesirable catch because of the risk associated with handling the venomous fish.'),</v>
      </c>
    </row>
    <row r="7" spans="1:16" ht="55.2" x14ac:dyDescent="0.3">
      <c r="A7" s="12" t="s">
        <v>255</v>
      </c>
      <c r="B7" s="12" t="s">
        <v>182</v>
      </c>
      <c r="C7" s="12" t="s">
        <v>221</v>
      </c>
      <c r="D7" s="12" t="s">
        <v>17</v>
      </c>
      <c r="E7" s="13">
        <v>210</v>
      </c>
      <c r="F7" s="13" t="s">
        <v>256</v>
      </c>
      <c r="G7" s="13">
        <v>5</v>
      </c>
      <c r="H7" s="13">
        <v>12</v>
      </c>
      <c r="I7" s="13">
        <v>70</v>
      </c>
      <c r="J7" s="14" t="s">
        <v>257</v>
      </c>
      <c r="K7" s="14" t="s">
        <v>128</v>
      </c>
      <c r="L7" s="14" t="s">
        <v>63</v>
      </c>
      <c r="M7" s="14" t="s">
        <v>133</v>
      </c>
      <c r="N7" s="3" cm="1">
        <f t="array" ref="N7">_xlfn.IFS(B7="Freshwater",1,B7="Brackish",2,B7="Seawater",3)</f>
        <v>2</v>
      </c>
      <c r="O7" s="3" cm="1">
        <f t="array" ref="O7">_xlfn.IFS(D7="Common",1,D7="Uncommon",2,D7="Rare",3,D7="Legendary",4,D7="Mythical",5,D7="Event",6)</f>
        <v>2</v>
      </c>
      <c r="P7" s="5" t="str">
        <f t="shared" si="0"/>
        <v>('Gafftopsail Catfish',2,2,210,1.2,5,12,70,'The gafftopsail catfish is blue-grey to dark brown with a light grey belly. Its appearance is typical for a catfish except for the deeply forked tail and the venomous, serrated spines.'),</v>
      </c>
    </row>
    <row r="8" spans="1:16" ht="41.4" x14ac:dyDescent="0.3">
      <c r="A8" s="12" t="s">
        <v>281</v>
      </c>
      <c r="B8" s="12" t="s">
        <v>182</v>
      </c>
      <c r="C8" s="12" t="s">
        <v>282</v>
      </c>
      <c r="D8" s="12" t="s">
        <v>15</v>
      </c>
      <c r="E8" s="13">
        <v>850</v>
      </c>
      <c r="F8" s="13" t="s">
        <v>213</v>
      </c>
      <c r="G8" s="13">
        <v>2</v>
      </c>
      <c r="H8" s="13" t="s">
        <v>283</v>
      </c>
      <c r="I8" s="13">
        <v>40</v>
      </c>
      <c r="J8" s="14" t="s">
        <v>284</v>
      </c>
      <c r="K8" s="14" t="s">
        <v>173</v>
      </c>
      <c r="L8" s="14" t="s">
        <v>56</v>
      </c>
      <c r="M8" s="14" t="s">
        <v>133</v>
      </c>
      <c r="N8" s="3" cm="1">
        <f t="array" ref="N8">_xlfn.IFS(B8="Freshwater",1,B8="Brackish",2,B8="Seawater",3)</f>
        <v>2</v>
      </c>
      <c r="O8" s="3" cm="1">
        <f t="array" ref="O8">_xlfn.IFS(D8="Common",1,D8="Uncommon",2,D8="Rare",3,D8="Legendary",4,D8="Mythical",5,D8="Event",6)</f>
        <v>1</v>
      </c>
      <c r="P8" s="5" t="str">
        <f t="shared" si="0"/>
        <v>('Green Chromide',2,1,850,0.1,2,7.5,40,'It eats mainly aquatic plants, including filamentous algae and diatoms, but it consumes the occasional mollusk and other animal matter.'),</v>
      </c>
    </row>
    <row r="9" spans="1:16" ht="55.2" x14ac:dyDescent="0.3">
      <c r="A9" s="12" t="s">
        <v>285</v>
      </c>
      <c r="B9" s="12" t="s">
        <v>182</v>
      </c>
      <c r="C9" s="12" t="s">
        <v>282</v>
      </c>
      <c r="D9" s="12" t="s">
        <v>17</v>
      </c>
      <c r="E9" s="13">
        <v>300</v>
      </c>
      <c r="F9" s="13" t="s">
        <v>213</v>
      </c>
      <c r="G9" s="13" t="s">
        <v>205</v>
      </c>
      <c r="H9" s="13">
        <v>2</v>
      </c>
      <c r="I9" s="13">
        <v>10</v>
      </c>
      <c r="J9" s="14" t="s">
        <v>286</v>
      </c>
      <c r="K9" s="14" t="s">
        <v>64</v>
      </c>
      <c r="L9" s="14" t="s">
        <v>61</v>
      </c>
      <c r="M9" s="14" t="s">
        <v>564</v>
      </c>
      <c r="N9" s="3" cm="1">
        <f t="array" ref="N9">_xlfn.IFS(B9="Freshwater",1,B9="Brackish",2,B9="Seawater",3)</f>
        <v>2</v>
      </c>
      <c r="O9" s="3" cm="1">
        <f t="array" ref="O9">_xlfn.IFS(D9="Common",1,D9="Uncommon",2,D9="Rare",3,D9="Legendary",4,D9="Mythical",5,D9="Event",6)</f>
        <v>2</v>
      </c>
      <c r="P9" s="5" t="str">
        <f t="shared" si="0"/>
        <v>('Orange Chromide',2,2,300,0.1,0.3,2,10,'A vivid orange cichlid that thrives in brackish lagoons and estuaries, where it grazes on algae and hunts tiny aquatic creatures among submerged vegetation.'),</v>
      </c>
    </row>
    <row r="10" spans="1:16" ht="41.4" x14ac:dyDescent="0.3">
      <c r="A10" s="12" t="s">
        <v>339</v>
      </c>
      <c r="B10" s="12" t="s">
        <v>182</v>
      </c>
      <c r="C10" s="12" t="s">
        <v>282</v>
      </c>
      <c r="D10" s="12" t="s">
        <v>15</v>
      </c>
      <c r="E10" s="13">
        <v>600</v>
      </c>
      <c r="F10" s="13" t="s">
        <v>27</v>
      </c>
      <c r="G10" s="13">
        <v>5</v>
      </c>
      <c r="H10" s="13">
        <v>9</v>
      </c>
      <c r="I10" s="13">
        <v>55</v>
      </c>
      <c r="J10" s="14" t="s">
        <v>340</v>
      </c>
      <c r="K10" s="14" t="s">
        <v>173</v>
      </c>
      <c r="L10" s="14" t="s">
        <v>56</v>
      </c>
      <c r="M10" s="14" t="s">
        <v>133</v>
      </c>
      <c r="N10" s="3" cm="1">
        <f t="array" ref="N10">_xlfn.IFS(B10="Freshwater",1,B10="Brackish",2,B10="Seawater",3)</f>
        <v>2</v>
      </c>
      <c r="O10" s="3" cm="1">
        <f t="array" ref="O10">_xlfn.IFS(D10="Common",1,D10="Uncommon",2,D10="Rare",3,D10="Legendary",4,D10="Mythical",5,D10="Event",6)</f>
        <v>1</v>
      </c>
      <c r="P10" s="5" t="str">
        <f t="shared" si="0"/>
        <v>('Blue Tilapia',2,1,600,0.5,5,9,55,'It grazes on algae and aquatic vegetation while readily adapting to new habitats, making it both abundant and highly resilient.'),</v>
      </c>
    </row>
    <row r="11" spans="1:16" ht="27.6" x14ac:dyDescent="0.3">
      <c r="A11" s="12" t="s">
        <v>341</v>
      </c>
      <c r="B11" s="12" t="s">
        <v>182</v>
      </c>
      <c r="C11" s="12" t="s">
        <v>282</v>
      </c>
      <c r="D11" s="12" t="s">
        <v>15</v>
      </c>
      <c r="E11" s="13">
        <v>550</v>
      </c>
      <c r="F11" s="13" t="s">
        <v>343</v>
      </c>
      <c r="G11" s="13" t="s">
        <v>342</v>
      </c>
      <c r="H11" s="13">
        <v>7</v>
      </c>
      <c r="I11" s="13">
        <v>50</v>
      </c>
      <c r="J11" s="14" t="s">
        <v>858</v>
      </c>
      <c r="K11" s="14" t="s">
        <v>54</v>
      </c>
      <c r="L11" s="14" t="s">
        <v>344</v>
      </c>
      <c r="M11" s="14" t="s">
        <v>566</v>
      </c>
      <c r="N11" s="3" cm="1">
        <f t="array" ref="N11">_xlfn.IFS(B11="Freshwater",1,B11="Brackish",2,B11="Seawater",3)</f>
        <v>2</v>
      </c>
      <c r="O11" s="3" cm="1">
        <f t="array" ref="O11">_xlfn.IFS(D11="Common",1,D11="Uncommon",2,D11="Rare",3,D11="Legendary",4,D11="Mythical",5,D11="Event",6)</f>
        <v>1</v>
      </c>
      <c r="P11" s="5" t="str">
        <f t="shared" si="0"/>
        <v>('Black Tilapia',2,1,550,0.7,3.2,7,50,'The most common tilapia in Endral, it has a long upper fins, the front part of which have spines.'),</v>
      </c>
    </row>
    <row r="12" spans="1:16" ht="41.4" x14ac:dyDescent="0.3">
      <c r="A12" s="12" t="s">
        <v>345</v>
      </c>
      <c r="B12" s="12" t="s">
        <v>182</v>
      </c>
      <c r="C12" s="12" t="s">
        <v>346</v>
      </c>
      <c r="D12" s="12" t="s">
        <v>15</v>
      </c>
      <c r="E12" s="13">
        <v>650</v>
      </c>
      <c r="F12" s="13" t="s">
        <v>213</v>
      </c>
      <c r="G12" s="13" t="s">
        <v>27</v>
      </c>
      <c r="H12" s="13">
        <v>5</v>
      </c>
      <c r="I12" s="13">
        <v>28</v>
      </c>
      <c r="J12" s="14" t="s">
        <v>348</v>
      </c>
      <c r="K12" s="14" t="s">
        <v>167</v>
      </c>
      <c r="L12" s="14" t="s">
        <v>347</v>
      </c>
      <c r="M12" s="14" t="s">
        <v>558</v>
      </c>
      <c r="N12" s="3" cm="1">
        <f t="array" ref="N12">_xlfn.IFS(B12="Freshwater",1,B12="Brackish",2,B12="Seawater",3)</f>
        <v>2</v>
      </c>
      <c r="O12" s="3" cm="1">
        <f t="array" ref="O12">_xlfn.IFS(D12="Common",1,D12="Uncommon",2,D12="Rare",3,D12="Legendary",4,D12="Mythical",5,D12="Event",6)</f>
        <v>1</v>
      </c>
      <c r="P12" s="5" t="str">
        <f t="shared" si="0"/>
        <v>('Hogchoker',2,1,650,0.1,0.5,5,28,'The overall body of this fish color is often broken by a series of spots and thin stripes, which can be lighter or darker than the main body color.'),</v>
      </c>
    </row>
    <row r="13" spans="1:16" ht="27.6" x14ac:dyDescent="0.3">
      <c r="A13" s="12" t="s">
        <v>349</v>
      </c>
      <c r="B13" s="12" t="s">
        <v>182</v>
      </c>
      <c r="C13" s="12" t="s">
        <v>350</v>
      </c>
      <c r="D13" s="12" t="s">
        <v>17</v>
      </c>
      <c r="E13" s="13">
        <v>320</v>
      </c>
      <c r="F13" s="13" t="s">
        <v>213</v>
      </c>
      <c r="G13" s="13">
        <v>1</v>
      </c>
      <c r="H13" s="13">
        <v>5</v>
      </c>
      <c r="I13" s="13">
        <v>30</v>
      </c>
      <c r="J13" s="14" t="s">
        <v>351</v>
      </c>
      <c r="K13" s="14" t="s">
        <v>183</v>
      </c>
      <c r="L13" s="14" t="s">
        <v>347</v>
      </c>
      <c r="M13" s="14" t="s">
        <v>565</v>
      </c>
      <c r="N13" s="3" cm="1">
        <f t="array" ref="N13">_xlfn.IFS(B13="Freshwater",1,B13="Brackish",2,B13="Seawater",3)</f>
        <v>2</v>
      </c>
      <c r="O13" s="3" cm="1">
        <f t="array" ref="O13">_xlfn.IFS(D13="Common",1,D13="Uncommon",2,D13="Rare",3,D13="Legendary",4,D13="Mythical",5,D13="Event",6)</f>
        <v>2</v>
      </c>
      <c r="P13" s="5" t="str">
        <f t="shared" si="0"/>
        <v>('Four-eyed Fish',2,2,320,0.1,1,5,30,'Four-eyed fish have only two eyes, but the eyes are specially adapted for their surface-dwelling lifestyle.'),</v>
      </c>
    </row>
    <row r="14" spans="1:16" ht="41.4" x14ac:dyDescent="0.3">
      <c r="A14" s="12" t="s">
        <v>264</v>
      </c>
      <c r="B14" s="12" t="s">
        <v>182</v>
      </c>
      <c r="C14" s="12" t="s">
        <v>265</v>
      </c>
      <c r="D14" s="12" t="s">
        <v>15</v>
      </c>
      <c r="E14" s="13">
        <v>650</v>
      </c>
      <c r="F14" s="13" t="s">
        <v>213</v>
      </c>
      <c r="G14" s="13">
        <v>1</v>
      </c>
      <c r="H14" s="13">
        <v>5</v>
      </c>
      <c r="I14" s="13" t="s">
        <v>266</v>
      </c>
      <c r="J14" s="14" t="s">
        <v>267</v>
      </c>
      <c r="K14" s="14" t="s">
        <v>104</v>
      </c>
      <c r="L14" s="14" t="s">
        <v>243</v>
      </c>
      <c r="M14" s="14" t="s">
        <v>569</v>
      </c>
      <c r="N14" s="3" cm="1">
        <f t="array" ref="N14">_xlfn.IFS(B14="Freshwater",1,B14="Brackish",2,B14="Seawater",3)</f>
        <v>2</v>
      </c>
      <c r="O14" s="3" cm="1">
        <f t="array" ref="O14">_xlfn.IFS(D14="Common",1,D14="Uncommon",2,D14="Rare",3,D14="Legendary",4,D14="Mythical",5,D14="Event",6)</f>
        <v>1</v>
      </c>
      <c r="P14" s="5" t="str">
        <f t="shared" si="0"/>
        <v>('Giant Mudskipper',2,1,650,0.1,1,5,28.5,'A giant amphibious goby that prowls muddy shores and mangrove forests, skillfully walking on land and leaping between tidal pools in search of prey'),</v>
      </c>
    </row>
    <row r="15" spans="1:16" ht="27.6" x14ac:dyDescent="0.3">
      <c r="A15" s="12" t="s">
        <v>279</v>
      </c>
      <c r="B15" s="12" t="s">
        <v>182</v>
      </c>
      <c r="C15" s="12" t="s">
        <v>265</v>
      </c>
      <c r="D15" s="12" t="s">
        <v>20</v>
      </c>
      <c r="E15" s="13">
        <v>100</v>
      </c>
      <c r="F15" s="13" t="s">
        <v>213</v>
      </c>
      <c r="G15" s="13" t="s">
        <v>27</v>
      </c>
      <c r="H15" s="13">
        <v>8</v>
      </c>
      <c r="I15" s="13">
        <v>61</v>
      </c>
      <c r="J15" s="14" t="s">
        <v>280</v>
      </c>
      <c r="K15" s="14" t="s">
        <v>104</v>
      </c>
      <c r="L15" s="14" t="s">
        <v>244</v>
      </c>
      <c r="M15" s="14" t="s">
        <v>558</v>
      </c>
      <c r="N15" s="3" cm="1">
        <f t="array" ref="N15">_xlfn.IFS(B15="Freshwater",1,B15="Brackish",2,B15="Seawater",3)</f>
        <v>2</v>
      </c>
      <c r="O15" s="3" cm="1">
        <f t="array" ref="O15">_xlfn.IFS(D15="Common",1,D15="Uncommon",2,D15="Rare",3,D15="Legendary",4,D15="Mythical",5,D15="Event",6)</f>
        <v>3</v>
      </c>
      <c r="P15" s="5" t="str">
        <f t="shared" si="0"/>
        <v>('Dragon Goby',2,3,100,0.1,0.5,8,61,'Dragon Goby is said to be a baby water dragon in its infancy. This fish has a long, slender, eel-like body.'),</v>
      </c>
    </row>
    <row r="16" spans="1:16" ht="27.6" x14ac:dyDescent="0.3">
      <c r="A16" s="12" t="s">
        <v>277</v>
      </c>
      <c r="B16" s="12" t="s">
        <v>182</v>
      </c>
      <c r="C16" s="12" t="s">
        <v>265</v>
      </c>
      <c r="D16" s="12" t="s">
        <v>17</v>
      </c>
      <c r="E16" s="13">
        <v>251</v>
      </c>
      <c r="F16" s="13" t="s">
        <v>213</v>
      </c>
      <c r="G16" s="13">
        <v>1</v>
      </c>
      <c r="H16" s="13">
        <v>1</v>
      </c>
      <c r="I16" s="13">
        <v>9</v>
      </c>
      <c r="J16" s="14" t="s">
        <v>278</v>
      </c>
      <c r="K16" s="14" t="s">
        <v>183</v>
      </c>
      <c r="L16" s="14" t="s">
        <v>252</v>
      </c>
      <c r="M16" s="14" t="s">
        <v>570</v>
      </c>
      <c r="N16" s="3" cm="1">
        <f t="array" ref="N16">_xlfn.IFS(B16="Freshwater",1,B16="Brackish",2,B16="Seawater",3)</f>
        <v>2</v>
      </c>
      <c r="O16" s="3" cm="1">
        <f t="array" ref="O16">_xlfn.IFS(D16="Common",1,D16="Uncommon",2,D16="Rare",3,D16="Legendary",4,D16="Mythical",5,D16="Event",6)</f>
        <v>2</v>
      </c>
      <c r="P16" s="5" t="str">
        <f t="shared" si="0"/>
        <v>('Knight Goby',2,2,251,0.1,1,1,9,'This goby has a speckled pattern and an armored look reminiscent of a chainmal worn by a knight.'),</v>
      </c>
    </row>
    <row r="17" spans="1:16" ht="55.2" x14ac:dyDescent="0.3">
      <c r="A17" s="12" t="s">
        <v>334</v>
      </c>
      <c r="B17" s="12" t="s">
        <v>182</v>
      </c>
      <c r="C17" s="12" t="s">
        <v>265</v>
      </c>
      <c r="D17" s="12" t="s">
        <v>20</v>
      </c>
      <c r="E17" s="13">
        <v>111</v>
      </c>
      <c r="F17" s="13" t="s">
        <v>213</v>
      </c>
      <c r="G17" s="13">
        <v>1</v>
      </c>
      <c r="H17" s="13">
        <v>1</v>
      </c>
      <c r="I17" s="13">
        <v>4</v>
      </c>
      <c r="J17" s="14" t="s">
        <v>336</v>
      </c>
      <c r="K17" s="14" t="s">
        <v>335</v>
      </c>
      <c r="L17" s="14" t="s">
        <v>252</v>
      </c>
      <c r="M17" s="14" t="s">
        <v>571</v>
      </c>
      <c r="N17" s="3" cm="1">
        <f t="array" ref="N17">_xlfn.IFS(B17="Freshwater",1,B17="Brackish",2,B17="Seawater",3)</f>
        <v>2</v>
      </c>
      <c r="O17" s="3" cm="1">
        <f t="array" ref="O17">_xlfn.IFS(D17="Common",1,D17="Uncommon",2,D17="Rare",3,D17="Legendary",4,D17="Mythical",5,D17="Event",6)</f>
        <v>3</v>
      </c>
      <c r="P17" s="5" t="str">
        <f t="shared" si="0"/>
        <v>('Bumblebee Goby',2,3,111,0.1,1,1,4,'A miniature goby known for its bold yellow-and-black stripes. Despite its small size, it is an active predator that patrols muddy bottoms and dense vegetation in search of tiny prey.'),</v>
      </c>
    </row>
    <row r="18" spans="1:16" ht="27.6" x14ac:dyDescent="0.3">
      <c r="A18" s="12" t="s">
        <v>337</v>
      </c>
      <c r="B18" s="12" t="s">
        <v>182</v>
      </c>
      <c r="C18" s="12" t="s">
        <v>265</v>
      </c>
      <c r="D18" s="12" t="s">
        <v>17</v>
      </c>
      <c r="E18" s="13">
        <v>300</v>
      </c>
      <c r="F18" s="13">
        <v>1</v>
      </c>
      <c r="G18" s="13" t="s">
        <v>283</v>
      </c>
      <c r="H18" s="13">
        <v>10</v>
      </c>
      <c r="I18" s="13">
        <v>65</v>
      </c>
      <c r="J18" s="14" t="s">
        <v>338</v>
      </c>
      <c r="K18" s="14" t="s">
        <v>173</v>
      </c>
      <c r="L18" s="14" t="s">
        <v>159</v>
      </c>
      <c r="M18" s="14" t="s">
        <v>133</v>
      </c>
      <c r="N18" s="3" cm="1">
        <f t="array" ref="N18">_xlfn.IFS(B18="Freshwater",1,B18="Brackish",2,B18="Seawater",3)</f>
        <v>2</v>
      </c>
      <c r="O18" s="3" cm="1">
        <f t="array" ref="O18">_xlfn.IFS(D18="Common",1,D18="Uncommon",2,D18="Rare",3,D18="Legendary",4,D18="Mythical",5,D18="Event",6)</f>
        <v>2</v>
      </c>
      <c r="P18" s="5" t="str">
        <f t="shared" si="0"/>
        <v>('Marble Goby',2,2,300,1,7.5,10,65,'It is a highly popular fish among rich families, said to be best eaten after a childbirth or Chirurgy.'),</v>
      </c>
    </row>
    <row r="19" spans="1:16" ht="41.4" x14ac:dyDescent="0.3">
      <c r="A19" s="12" t="s">
        <v>405</v>
      </c>
      <c r="B19" s="12" t="s">
        <v>182</v>
      </c>
      <c r="C19" s="12" t="s">
        <v>406</v>
      </c>
      <c r="D19" s="12" t="s">
        <v>15</v>
      </c>
      <c r="E19" s="13">
        <v>630</v>
      </c>
      <c r="F19" s="13" t="s">
        <v>213</v>
      </c>
      <c r="G19" s="13" t="s">
        <v>205</v>
      </c>
      <c r="H19" s="13" t="s">
        <v>256</v>
      </c>
      <c r="I19" s="13">
        <v>8</v>
      </c>
      <c r="J19" s="14" t="s">
        <v>407</v>
      </c>
      <c r="K19" s="14" t="s">
        <v>183</v>
      </c>
      <c r="L19" s="14" t="s">
        <v>252</v>
      </c>
      <c r="M19" s="14" t="s">
        <v>570</v>
      </c>
      <c r="N19" s="3" cm="1">
        <f t="array" ref="N19">_xlfn.IFS(B19="Freshwater",1,B19="Brackish",2,B19="Seawater",3)</f>
        <v>2</v>
      </c>
      <c r="O19" s="3" cm="1">
        <f t="array" ref="O19">_xlfn.IFS(D19="Common",1,D19="Uncommon",2,D19="Rare",3,D19="Legendary",4,D19="Mythical",5,D19="Event",6)</f>
        <v>1</v>
      </c>
      <c r="P19" s="5" t="str">
        <f t="shared" si="0"/>
        <v>('Wrestling Halfbeak',2,1,630,0.1,0.3,1.2,8,'Wrestling halfbeaks are surface-feeding fish and feed on a variety of small invertebrates, including crustaceans and insect larvae.'),</v>
      </c>
    </row>
    <row r="20" spans="1:16" ht="41.4" x14ac:dyDescent="0.3">
      <c r="A20" s="12" t="s">
        <v>394</v>
      </c>
      <c r="B20" s="12" t="s">
        <v>182</v>
      </c>
      <c r="C20" s="12" t="s">
        <v>394</v>
      </c>
      <c r="D20" s="12" t="s">
        <v>15</v>
      </c>
      <c r="E20" s="13">
        <v>625</v>
      </c>
      <c r="F20" s="13" t="s">
        <v>256</v>
      </c>
      <c r="G20" s="13">
        <v>20</v>
      </c>
      <c r="H20" s="13">
        <v>90</v>
      </c>
      <c r="I20" s="13">
        <v>180</v>
      </c>
      <c r="J20" s="14" t="s">
        <v>395</v>
      </c>
      <c r="K20" s="14" t="s">
        <v>54</v>
      </c>
      <c r="L20" s="14" t="s">
        <v>375</v>
      </c>
      <c r="M20" s="14" t="s">
        <v>568</v>
      </c>
      <c r="N20" s="3" cm="1">
        <f t="array" ref="N20">_xlfn.IFS(B20="Freshwater",1,B20="Brackish",2,B20="Seawater",3)</f>
        <v>2</v>
      </c>
      <c r="O20" s="3" cm="1">
        <f t="array" ref="O20">_xlfn.IFS(D20="Common",1,D20="Uncommon",2,D20="Rare",3,D20="Legendary",4,D20="Mythical",5,D20="Event",6)</f>
        <v>1</v>
      </c>
      <c r="P20" s="5" t="str">
        <f t="shared" si="0"/>
        <v>('Milkfish',2,1,625,1.2,20,90,180,'The milkfish is an important seafood in Seran and some Ourea places. This fish is infamous for being much bonier than other food fishes.'),</v>
      </c>
    </row>
    <row r="21" spans="1:16" ht="41.4" x14ac:dyDescent="0.3">
      <c r="A21" s="12" t="s">
        <v>272</v>
      </c>
      <c r="B21" s="12" t="s">
        <v>182</v>
      </c>
      <c r="C21" s="12" t="s">
        <v>271</v>
      </c>
      <c r="D21" s="12" t="s">
        <v>15</v>
      </c>
      <c r="E21" s="13">
        <v>555</v>
      </c>
      <c r="F21" s="13" t="s">
        <v>213</v>
      </c>
      <c r="G21" s="13">
        <v>1</v>
      </c>
      <c r="H21" s="13">
        <v>7</v>
      </c>
      <c r="I21" s="13">
        <v>25</v>
      </c>
      <c r="J21" s="14" t="s">
        <v>329</v>
      </c>
      <c r="K21" s="14" t="s">
        <v>128</v>
      </c>
      <c r="L21" s="14" t="s">
        <v>58</v>
      </c>
      <c r="M21" s="14" t="s">
        <v>133</v>
      </c>
      <c r="N21" s="3" cm="1">
        <f t="array" ref="N21">_xlfn.IFS(B21="Freshwater",1,B21="Brackish",2,B21="Seawater",3)</f>
        <v>2</v>
      </c>
      <c r="O21" s="3" cm="1">
        <f t="array" ref="O21">_xlfn.IFS(D21="Common",1,D21="Uncommon",2,D21="Rare",3,D21="Legendary",4,D21="Mythical",5,D21="Event",6)</f>
        <v>1</v>
      </c>
      <c r="P21" s="5" t="str">
        <f t="shared" si="0"/>
        <v>('Tidehaven Moony',2,1,555,0.1,1,7,25,'A silvery schooling fish with a diamond-shaped body and striking black markings native to Tidehaven water.'),</v>
      </c>
    </row>
    <row r="22" spans="1:16" ht="41.4" x14ac:dyDescent="0.3">
      <c r="A22" s="12" t="s">
        <v>276</v>
      </c>
      <c r="B22" s="12" t="s">
        <v>182</v>
      </c>
      <c r="C22" s="12" t="s">
        <v>271</v>
      </c>
      <c r="D22" s="12" t="s">
        <v>15</v>
      </c>
      <c r="E22" s="13">
        <v>800</v>
      </c>
      <c r="F22" s="13" t="s">
        <v>213</v>
      </c>
      <c r="G22" s="13">
        <v>1</v>
      </c>
      <c r="H22" s="13">
        <v>4</v>
      </c>
      <c r="I22" s="13">
        <v>27</v>
      </c>
      <c r="J22" s="14" t="s">
        <v>859</v>
      </c>
      <c r="K22" s="14" t="s">
        <v>64</v>
      </c>
      <c r="L22" s="14" t="s">
        <v>56</v>
      </c>
      <c r="M22" s="14" t="s">
        <v>572</v>
      </c>
      <c r="N22" s="3" cm="1">
        <f t="array" ref="N22">_xlfn.IFS(B22="Freshwater",1,B22="Brackish",2,B22="Seawater",3)</f>
        <v>2</v>
      </c>
      <c r="O22" s="3" cm="1">
        <f t="array" ref="O22">_xlfn.IFS(D22="Common",1,D22="Uncommon",2,D22="Rare",3,D22="Legendary",4,D22="Mythical",5,D22="Event",6)</f>
        <v>1</v>
      </c>
      <c r="P22" s="5" t="str">
        <f t="shared" si="0"/>
        <v>('Silver Moony',2,1,800,0.1,1,4,27,'This fish has a bright, shiny silver color with yellowish edges to the fins, and the upper and anal fins have black tips.'),</v>
      </c>
    </row>
    <row r="23" spans="1:16" ht="27.6" x14ac:dyDescent="0.3">
      <c r="A23" s="12" t="s">
        <v>402</v>
      </c>
      <c r="B23" s="12" t="s">
        <v>182</v>
      </c>
      <c r="C23" s="12" t="s">
        <v>403</v>
      </c>
      <c r="D23" s="12" t="s">
        <v>15</v>
      </c>
      <c r="E23" s="13">
        <v>615</v>
      </c>
      <c r="F23" s="13" t="s">
        <v>32</v>
      </c>
      <c r="G23" s="13">
        <v>8</v>
      </c>
      <c r="H23" s="13">
        <v>30</v>
      </c>
      <c r="I23" s="13">
        <v>100</v>
      </c>
      <c r="J23" s="14" t="s">
        <v>404</v>
      </c>
      <c r="K23" s="14" t="s">
        <v>173</v>
      </c>
      <c r="L23" s="14" t="s">
        <v>63</v>
      </c>
      <c r="M23" s="14" t="s">
        <v>133</v>
      </c>
      <c r="N23" s="3" cm="1">
        <f t="array" ref="N23">_xlfn.IFS(B23="Freshwater",1,B23="Brackish",2,B23="Seawater",3)</f>
        <v>2</v>
      </c>
      <c r="O23" s="3" cm="1">
        <f t="array" ref="O23">_xlfn.IFS(D23="Common",1,D23="Uncommon",2,D23="Rare",3,D23="Legendary",4,D23="Mythical",5,D23="Event",6)</f>
        <v>1</v>
      </c>
      <c r="P23" s="5" t="str">
        <f t="shared" si="0"/>
        <v>('Striped Mullet',2,1,615,1.1,8,30,100,'The back of the fish is olive-green, sides are silvery and shade to white towards the belly.'),</v>
      </c>
    </row>
    <row r="24" spans="1:16" ht="41.4" x14ac:dyDescent="0.3">
      <c r="A24" s="12" t="s">
        <v>352</v>
      </c>
      <c r="B24" s="12" t="s">
        <v>182</v>
      </c>
      <c r="C24" s="12" t="s">
        <v>352</v>
      </c>
      <c r="D24" s="12" t="s">
        <v>15</v>
      </c>
      <c r="E24" s="13">
        <v>800</v>
      </c>
      <c r="F24" s="13" t="s">
        <v>213</v>
      </c>
      <c r="G24" s="13" t="s">
        <v>27</v>
      </c>
      <c r="H24" s="13">
        <v>3</v>
      </c>
      <c r="I24" s="13">
        <v>30</v>
      </c>
      <c r="J24" s="14" t="s">
        <v>860</v>
      </c>
      <c r="K24" s="14" t="s">
        <v>64</v>
      </c>
      <c r="L24" s="14" t="s">
        <v>247</v>
      </c>
      <c r="M24" s="14" t="s">
        <v>572</v>
      </c>
      <c r="N24" s="3" cm="1">
        <f t="array" ref="N24">_xlfn.IFS(B24="Freshwater",1,B24="Brackish",2,B24="Seawater",3)</f>
        <v>2</v>
      </c>
      <c r="O24" s="3" cm="1">
        <f t="array" ref="O24">_xlfn.IFS(D24="Common",1,D24="Uncommon",2,D24="Rare",3,D24="Legendary",4,D24="Mythical",5,D24="Event",6)</f>
        <v>1</v>
      </c>
      <c r="P24" s="5" t="str">
        <f t="shared" si="0"/>
        <v>('Needlefish',2,1,800,0.1,0.5,3,30,'Needlefish are slender and have a single upper fin. Their most distinctive feature is their long, narrow beak, which bears multiple sharp teeth.'),</v>
      </c>
    </row>
    <row r="25" spans="1:16" ht="41.4" x14ac:dyDescent="0.3">
      <c r="A25" s="12" t="s">
        <v>396</v>
      </c>
      <c r="B25" s="12" t="s">
        <v>182</v>
      </c>
      <c r="C25" s="12" t="s">
        <v>397</v>
      </c>
      <c r="D25" s="12" t="s">
        <v>15</v>
      </c>
      <c r="E25" s="13">
        <v>585</v>
      </c>
      <c r="F25" s="13" t="s">
        <v>400</v>
      </c>
      <c r="G25" s="13" t="s">
        <v>399</v>
      </c>
      <c r="H25" s="13">
        <v>60</v>
      </c>
      <c r="I25" s="13">
        <v>150</v>
      </c>
      <c r="J25" s="14" t="s">
        <v>401</v>
      </c>
      <c r="K25" s="14" t="s">
        <v>54</v>
      </c>
      <c r="L25" s="14" t="s">
        <v>398</v>
      </c>
      <c r="M25" s="14" t="s">
        <v>566</v>
      </c>
      <c r="N25" s="3" cm="1">
        <f t="array" ref="N25">_xlfn.IFS(B25="Freshwater",1,B25="Brackish",2,B25="Seawater",3)</f>
        <v>2</v>
      </c>
      <c r="O25" s="3" cm="1">
        <f t="array" ref="O25">_xlfn.IFS(D25="Common",1,D25="Uncommon",2,D25="Rare",3,D25="Legendary",4,D25="Mythical",5,D25="Event",6)</f>
        <v>1</v>
      </c>
      <c r="P25" s="5" t="str">
        <f t="shared" si="0"/>
        <v>('Mangrove Jack',2,1,585,2.3,13.5,60,150,'Coloration of the Mangrove Jack ranges from burnt orange to copper, to bronze, and dark reddish-brown, depending on its age and environment.'),</v>
      </c>
    </row>
    <row r="26" spans="1:16" ht="55.2" x14ac:dyDescent="0.3">
      <c r="A26" s="12" t="s">
        <v>33</v>
      </c>
      <c r="B26" s="12" t="s">
        <v>39</v>
      </c>
      <c r="C26" s="12" t="s">
        <v>34</v>
      </c>
      <c r="D26" s="12" t="s">
        <v>15</v>
      </c>
      <c r="E26" s="13">
        <v>950</v>
      </c>
      <c r="F26" s="13">
        <v>4</v>
      </c>
      <c r="G26" s="13">
        <v>11</v>
      </c>
      <c r="H26" s="13">
        <v>30</v>
      </c>
      <c r="I26" s="13">
        <v>86</v>
      </c>
      <c r="J26" s="14" t="s">
        <v>35</v>
      </c>
      <c r="K26" s="14" t="s">
        <v>64</v>
      </c>
      <c r="L26" s="14" t="s">
        <v>61</v>
      </c>
      <c r="M26" s="14" t="s">
        <v>592</v>
      </c>
      <c r="N26" s="3" cm="1">
        <f t="array" ref="N26">_xlfn.IFS(B26="Freshwater",1,B26="Brackish",2,B26="Seawater",3)</f>
        <v>1</v>
      </c>
      <c r="O26" s="3" cm="1">
        <f t="array" ref="O26">_xlfn.IFS(D26="Common",1,D26="Uncommon",2,D26="Rare",3,D26="Legendary",4,D26="Mythical",5,D26="Event",6)</f>
        <v>1</v>
      </c>
      <c r="P26" s="5" t="str">
        <f t="shared" si="0"/>
        <v>('Common Bream',1,1,950,4,11,30,86,'Common bream have a black fins and silver color in young bream that turn bronze when its got older'),</v>
      </c>
    </row>
    <row r="27" spans="1:16" ht="41.4" x14ac:dyDescent="0.3">
      <c r="A27" s="12" t="s">
        <v>170</v>
      </c>
      <c r="B27" s="12" t="s">
        <v>39</v>
      </c>
      <c r="C27" s="12" t="s">
        <v>34</v>
      </c>
      <c r="D27" s="12" t="s">
        <v>15</v>
      </c>
      <c r="E27" s="13">
        <v>975</v>
      </c>
      <c r="F27" s="13" t="s">
        <v>175</v>
      </c>
      <c r="G27" s="13">
        <v>2</v>
      </c>
      <c r="H27" s="13">
        <v>5</v>
      </c>
      <c r="I27" s="13">
        <v>7</v>
      </c>
      <c r="J27" s="14" t="s">
        <v>171</v>
      </c>
      <c r="K27" s="14" t="s">
        <v>64</v>
      </c>
      <c r="L27" s="14" t="s">
        <v>63</v>
      </c>
      <c r="M27" s="14" t="s">
        <v>598</v>
      </c>
      <c r="N27" s="3" cm="1">
        <f t="array" ref="N27">_xlfn.IFS(B27="Freshwater",1,B27="Brackish",2,B27="Seawater",3)</f>
        <v>1</v>
      </c>
      <c r="O27" s="3" cm="1">
        <f t="array" ref="O27">_xlfn.IFS(D27="Common",1,D27="Uncommon",2,D27="Rare",3,D27="Legendary",4,D27="Mythical",5,D27="Event",6)</f>
        <v>1</v>
      </c>
      <c r="P27" s="5" t="str">
        <f t="shared" si="0"/>
        <v>('White Bream',1,1,975,0.25,2,5,7,'White Bream / Silver Bream generally inhabit the lower reaches of rivers as well as lakes and ponds with muddy bottoms and plenty of algae to feed on.'),</v>
      </c>
    </row>
    <row r="28" spans="1:16" ht="55.2" x14ac:dyDescent="0.3">
      <c r="A28" s="12" t="s">
        <v>187</v>
      </c>
      <c r="B28" s="12" t="s">
        <v>39</v>
      </c>
      <c r="C28" s="12" t="s">
        <v>34</v>
      </c>
      <c r="D28" s="12" t="s">
        <v>15</v>
      </c>
      <c r="E28" s="13">
        <v>800</v>
      </c>
      <c r="F28" s="13">
        <v>1</v>
      </c>
      <c r="G28" s="13">
        <v>2</v>
      </c>
      <c r="H28" s="13">
        <v>20</v>
      </c>
      <c r="I28" s="13">
        <v>50</v>
      </c>
      <c r="J28" s="14" t="s">
        <v>861</v>
      </c>
      <c r="K28" s="14" t="s">
        <v>173</v>
      </c>
      <c r="L28" s="14" t="s">
        <v>61</v>
      </c>
      <c r="M28" s="14" t="s">
        <v>599</v>
      </c>
      <c r="N28" s="3" cm="1">
        <f t="array" ref="N28">_xlfn.IFS(B28="Freshwater",1,B28="Brackish",2,B28="Seawater",3)</f>
        <v>1</v>
      </c>
      <c r="O28" s="3" cm="1">
        <f t="array" ref="O28">_xlfn.IFS(D28="Common",1,D28="Uncommon",2,D28="Rare",3,D28="Legendary",4,D28="Mythical",5,D28="Event",6)</f>
        <v>1</v>
      </c>
      <c r="P28" s="5" t="str">
        <f t="shared" si="0"/>
        <v>('Vimba Bream',1,1,800,1,2,20,50,'This fish is a deep bluish-green on the upper surface, and silvery along the flanks. The eyes are yellow, and the pectoral and pelvic fins have reddish-yellow bases.'),</v>
      </c>
    </row>
    <row r="29" spans="1:16" ht="41.4" x14ac:dyDescent="0.3">
      <c r="A29" s="12" t="s">
        <v>185</v>
      </c>
      <c r="B29" s="12" t="s">
        <v>39</v>
      </c>
      <c r="C29" s="12" t="s">
        <v>34</v>
      </c>
      <c r="D29" s="12" t="s">
        <v>17</v>
      </c>
      <c r="E29" s="13">
        <v>300</v>
      </c>
      <c r="F29" s="13">
        <v>1</v>
      </c>
      <c r="G29" s="13">
        <v>3</v>
      </c>
      <c r="H29" s="13">
        <v>25</v>
      </c>
      <c r="I29" s="13">
        <v>55</v>
      </c>
      <c r="J29" s="14" t="s">
        <v>186</v>
      </c>
      <c r="K29" s="14" t="s">
        <v>177</v>
      </c>
      <c r="L29" s="14" t="s">
        <v>56</v>
      </c>
      <c r="M29" s="14" t="s">
        <v>612</v>
      </c>
      <c r="N29" s="3" cm="1">
        <f t="array" ref="N29">_xlfn.IFS(B29="Freshwater",1,B29="Brackish",2,B29="Seawater",3)</f>
        <v>1</v>
      </c>
      <c r="O29" s="3" cm="1">
        <f t="array" ref="O29">_xlfn.IFS(D29="Common",1,D29="Uncommon",2,D29="Rare",3,D29="Legendary",4,D29="Mythical",5,D29="Event",6)</f>
        <v>2</v>
      </c>
      <c r="P29" s="5" t="str">
        <f t="shared" si="0"/>
        <v>('Blue Bream',1,2,300,1,3,25,55,'A sleek silver-blue fish that travels in large schools through deep rivers and lakes, feeding on drifting insects and tiny aquatic prey.'),</v>
      </c>
    </row>
    <row r="30" spans="1:16" ht="69" x14ac:dyDescent="0.3">
      <c r="A30" s="12" t="s">
        <v>13</v>
      </c>
      <c r="B30" s="12" t="s">
        <v>39</v>
      </c>
      <c r="C30" s="12" t="s">
        <v>14</v>
      </c>
      <c r="D30" s="12" t="s">
        <v>15</v>
      </c>
      <c r="E30" s="13">
        <v>1000</v>
      </c>
      <c r="F30" s="13">
        <v>5</v>
      </c>
      <c r="G30" s="13">
        <v>40</v>
      </c>
      <c r="H30" s="13">
        <v>40</v>
      </c>
      <c r="I30" s="13">
        <v>110</v>
      </c>
      <c r="J30" s="14" t="s">
        <v>18</v>
      </c>
      <c r="K30" s="14" t="s">
        <v>64</v>
      </c>
      <c r="L30" s="14" t="s">
        <v>56</v>
      </c>
      <c r="M30" s="14" t="s">
        <v>600</v>
      </c>
      <c r="N30" s="3" cm="1">
        <f t="array" ref="N30">_xlfn.IFS(B30="Freshwater",1,B30="Brackish",2,B30="Seawater",3)</f>
        <v>1</v>
      </c>
      <c r="O30" s="3" cm="1">
        <f t="array" ref="O30">_xlfn.IFS(D30="Common",1,D30="Uncommon",2,D30="Rare",3,D30="Legendary",4,D30="Mythical",5,D30="Event",6)</f>
        <v>1</v>
      </c>
      <c r="P30" s="5" t="str">
        <f t="shared" si="0"/>
        <v>('Common Carp',1,1,1000,5,40,40,110,'A common carp is a widespread freshwater fish that can be found on almost every freshwater habitat.'),</v>
      </c>
    </row>
    <row r="31" spans="1:16" ht="41.4" x14ac:dyDescent="0.3">
      <c r="A31" s="12" t="s">
        <v>146</v>
      </c>
      <c r="B31" s="12" t="s">
        <v>39</v>
      </c>
      <c r="C31" s="12" t="s">
        <v>14</v>
      </c>
      <c r="D31" s="12" t="s">
        <v>15</v>
      </c>
      <c r="E31" s="13">
        <v>550</v>
      </c>
      <c r="F31" s="13">
        <v>5</v>
      </c>
      <c r="G31" s="13">
        <v>45</v>
      </c>
      <c r="H31" s="13">
        <v>20</v>
      </c>
      <c r="I31" s="13">
        <v>95</v>
      </c>
      <c r="J31" s="14" t="s">
        <v>147</v>
      </c>
      <c r="K31" s="14" t="s">
        <v>104</v>
      </c>
      <c r="L31" s="14" t="s">
        <v>244</v>
      </c>
      <c r="M31" s="14" t="s">
        <v>593</v>
      </c>
      <c r="N31" s="3" cm="1">
        <f t="array" ref="N31">_xlfn.IFS(B31="Freshwater",1,B31="Brackish",2,B31="Seawater",3)</f>
        <v>1</v>
      </c>
      <c r="O31" s="3" cm="1">
        <f t="array" ref="O31">_xlfn.IFS(D31="Common",1,D31="Uncommon",2,D31="Rare",3,D31="Legendary",4,D31="Mythical",5,D31="Event",6)</f>
        <v>1</v>
      </c>
      <c r="P31" s="5" t="str">
        <f t="shared" si="0"/>
        <v>('Grass Carp',1,1,550,5,45,20,95,'Grass Carp eggs require a long river to survive, and the eggs will be considered dead when they hit the bottom of the river.'),</v>
      </c>
    </row>
    <row r="32" spans="1:16" ht="41.4" x14ac:dyDescent="0.3">
      <c r="A32" s="12" t="s">
        <v>152</v>
      </c>
      <c r="B32" s="12" t="s">
        <v>39</v>
      </c>
      <c r="C32" s="12" t="s">
        <v>14</v>
      </c>
      <c r="D32" s="12" t="s">
        <v>15</v>
      </c>
      <c r="E32" s="13">
        <v>700</v>
      </c>
      <c r="F32" s="13">
        <v>2</v>
      </c>
      <c r="G32" s="13">
        <v>5</v>
      </c>
      <c r="H32" s="13">
        <v>20</v>
      </c>
      <c r="I32" s="13">
        <v>74</v>
      </c>
      <c r="J32" s="14" t="s">
        <v>153</v>
      </c>
      <c r="K32" s="14" t="s">
        <v>167</v>
      </c>
      <c r="L32" s="14" t="s">
        <v>347</v>
      </c>
      <c r="M32" s="14" t="s">
        <v>768</v>
      </c>
      <c r="N32" s="3" cm="1">
        <f t="array" ref="N32">_xlfn.IFS(B32="Freshwater",1,B32="Brackish",2,B32="Seawater",3)</f>
        <v>1</v>
      </c>
      <c r="O32" s="3" cm="1">
        <f t="array" ref="O32">_xlfn.IFS(D32="Common",1,D32="Uncommon",2,D32="Rare",3,D32="Legendary",4,D32="Mythical",5,D32="Event",6)</f>
        <v>1</v>
      </c>
      <c r="P32" s="5" t="str">
        <f t="shared" si="0"/>
        <v>('Mud Carp',1,1,700,2,5,20,74,'Mud Carp is considered to be inedible the first time people caught it, but after the great incident, this fish became popular.'),</v>
      </c>
    </row>
    <row r="33" spans="1:16" ht="27.6" x14ac:dyDescent="0.3">
      <c r="A33" s="12" t="s">
        <v>19</v>
      </c>
      <c r="B33" s="12" t="s">
        <v>39</v>
      </c>
      <c r="C33" s="12" t="s">
        <v>14</v>
      </c>
      <c r="D33" s="12" t="s">
        <v>20</v>
      </c>
      <c r="E33" s="13">
        <v>100</v>
      </c>
      <c r="F33" s="13">
        <v>2</v>
      </c>
      <c r="G33" s="13">
        <v>13</v>
      </c>
      <c r="H33" s="13">
        <v>15</v>
      </c>
      <c r="I33" s="13">
        <v>100</v>
      </c>
      <c r="J33" s="14" t="s">
        <v>21</v>
      </c>
      <c r="K33" s="14" t="s">
        <v>104</v>
      </c>
      <c r="L33" s="14" t="s">
        <v>243</v>
      </c>
      <c r="M33" s="14" t="s">
        <v>588</v>
      </c>
      <c r="N33" s="3" cm="1">
        <f t="array" ref="N33">_xlfn.IFS(B33="Freshwater",1,B33="Brackish",2,B33="Seawater",3)</f>
        <v>1</v>
      </c>
      <c r="O33" s="3" cm="1">
        <f t="array" ref="O33">_xlfn.IFS(D33="Common",1,D33="Uncommon",2,D33="Rare",3,D33="Legendary",4,D33="Mythical",5,D33="Event",6)</f>
        <v>3</v>
      </c>
      <c r="P33" s="5" t="str">
        <f t="shared" si="0"/>
        <v>('Mrigal Carp',1,3,100,2,13,15,100,'This fish live in a lower water level and feeds on small insects and decomposed organic element.'),</v>
      </c>
    </row>
    <row r="34" spans="1:16" ht="55.2" x14ac:dyDescent="0.3">
      <c r="A34" s="12" t="s">
        <v>16</v>
      </c>
      <c r="B34" s="12" t="s">
        <v>39</v>
      </c>
      <c r="C34" s="12" t="s">
        <v>14</v>
      </c>
      <c r="D34" s="12" t="s">
        <v>17</v>
      </c>
      <c r="E34" s="13">
        <v>350</v>
      </c>
      <c r="F34" s="13">
        <v>7</v>
      </c>
      <c r="G34" s="13">
        <v>50</v>
      </c>
      <c r="H34" s="13">
        <v>35</v>
      </c>
      <c r="I34" s="13">
        <v>105</v>
      </c>
      <c r="J34" s="14" t="s">
        <v>309</v>
      </c>
      <c r="K34" s="14" t="s">
        <v>55</v>
      </c>
      <c r="L34" s="14" t="s">
        <v>59</v>
      </c>
      <c r="M34" s="14" t="s">
        <v>613</v>
      </c>
      <c r="N34" s="3" cm="1">
        <f t="array" ref="N34">_xlfn.IFS(B34="Freshwater",1,B34="Brackish",2,B34="Seawater",3)</f>
        <v>1</v>
      </c>
      <c r="O34" s="3" cm="1">
        <f t="array" ref="O34">_xlfn.IFS(D34="Common",1,D34="Uncommon",2,D34="Rare",3,D34="Legendary",4,D34="Mythical",5,D34="Event",6)</f>
        <v>2</v>
      </c>
      <c r="P34" s="5" t="str">
        <f t="shared" si="0"/>
        <v>('Silver Carp',1,2,350,7,50,35,105,'A fast-growing filter feeder that cruises open freshwater, consuming microscopic plankton and occasionally leaping high above the surface when startled.'),</v>
      </c>
    </row>
    <row r="35" spans="1:16" ht="41.4" x14ac:dyDescent="0.3">
      <c r="A35" s="12" t="s">
        <v>148</v>
      </c>
      <c r="B35" s="12" t="s">
        <v>39</v>
      </c>
      <c r="C35" s="12" t="s">
        <v>14</v>
      </c>
      <c r="D35" s="12" t="s">
        <v>17</v>
      </c>
      <c r="E35" s="13">
        <v>300</v>
      </c>
      <c r="F35" s="13">
        <v>6</v>
      </c>
      <c r="G35" s="13">
        <v>35</v>
      </c>
      <c r="H35" s="13">
        <v>60</v>
      </c>
      <c r="I35" s="13">
        <v>100</v>
      </c>
      <c r="J35" s="14" t="s">
        <v>149</v>
      </c>
      <c r="K35" s="14" t="s">
        <v>104</v>
      </c>
      <c r="L35" s="14" t="s">
        <v>244</v>
      </c>
      <c r="M35" s="14" t="s">
        <v>614</v>
      </c>
      <c r="N35" s="3" cm="1">
        <f t="array" ref="N35">_xlfn.IFS(B35="Freshwater",1,B35="Brackish",2,B35="Seawater",3)</f>
        <v>1</v>
      </c>
      <c r="O35" s="3" cm="1">
        <f t="array" ref="O35">_xlfn.IFS(D35="Common",1,D35="Uncommon",2,D35="Rare",3,D35="Legendary",4,D35="Mythical",5,D35="Event",6)</f>
        <v>2</v>
      </c>
      <c r="P35" s="5" t="str">
        <f t="shared" si="0"/>
        <v>('Black Carp',1,2,300,6,35,60,100,'Black Carp are an elongated fish with a fusiform body. They have a dusky gray, brown, or even bluish black color on their body.'),</v>
      </c>
    </row>
    <row r="36" spans="1:16" ht="27.6" x14ac:dyDescent="0.3">
      <c r="A36" s="12" t="s">
        <v>150</v>
      </c>
      <c r="B36" s="12" t="s">
        <v>39</v>
      </c>
      <c r="C36" s="12" t="s">
        <v>14</v>
      </c>
      <c r="D36" s="12" t="s">
        <v>17</v>
      </c>
      <c r="E36" s="13">
        <v>350</v>
      </c>
      <c r="F36" s="13">
        <v>9</v>
      </c>
      <c r="G36" s="13">
        <v>54</v>
      </c>
      <c r="H36" s="13">
        <v>60</v>
      </c>
      <c r="I36" s="13">
        <v>146</v>
      </c>
      <c r="J36" s="14" t="s">
        <v>151</v>
      </c>
      <c r="K36" s="14" t="s">
        <v>104</v>
      </c>
      <c r="L36" s="14" t="s">
        <v>243</v>
      </c>
      <c r="M36" s="14" t="s">
        <v>615</v>
      </c>
      <c r="N36" s="3" cm="1">
        <f t="array" ref="N36">_xlfn.IFS(B36="Freshwater",1,B36="Brackish",2,B36="Seawater",3)</f>
        <v>1</v>
      </c>
      <c r="O36" s="3" cm="1">
        <f t="array" ref="O36">_xlfn.IFS(D36="Common",1,D36="Uncommon",2,D36="Rare",3,D36="Legendary",4,D36="Mythical",5,D36="Event",6)</f>
        <v>2</v>
      </c>
      <c r="P36" s="5" t="str">
        <f t="shared" si="0"/>
        <v>('Bighead Carp',1,2,350,9,54,60,146,'The Bighead Carp has a large, scaleless head, a large mouth, and eyes that located very low on their head.'),</v>
      </c>
    </row>
    <row r="37" spans="1:16" ht="41.4" x14ac:dyDescent="0.3">
      <c r="A37" s="12" t="s">
        <v>324</v>
      </c>
      <c r="B37" s="12" t="s">
        <v>39</v>
      </c>
      <c r="C37" s="12" t="s">
        <v>14</v>
      </c>
      <c r="D37" s="12" t="s">
        <v>17</v>
      </c>
      <c r="E37" s="13">
        <v>325</v>
      </c>
      <c r="F37" s="13">
        <v>10</v>
      </c>
      <c r="G37" s="13">
        <v>105</v>
      </c>
      <c r="H37" s="13">
        <v>30</v>
      </c>
      <c r="I37" s="13">
        <v>180</v>
      </c>
      <c r="J37" s="14" t="s">
        <v>154</v>
      </c>
      <c r="K37" s="14" t="s">
        <v>117</v>
      </c>
      <c r="L37" s="14" t="s">
        <v>63</v>
      </c>
      <c r="M37" s="14" t="s">
        <v>119</v>
      </c>
      <c r="N37" s="3" cm="1">
        <f t="array" ref="N37">_xlfn.IFS(B37="Freshwater",1,B37="Brackish",2,B37="Seawater",3)</f>
        <v>1</v>
      </c>
      <c r="O37" s="3" cm="1">
        <f t="array" ref="O37">_xlfn.IFS(D37="Common",1,D37="Uncommon",2,D37="Rare",3,D37="Legendary",4,D37="Mythical",5,D37="Event",6)</f>
        <v>2</v>
      </c>
      <c r="P37" s="5" t="str">
        <f t="shared" si="0"/>
        <v>('Giant River Carp',1,2,325,10,105,30,180,'This carp usually lives in a large pond or lake, but seasonally find its way into the canal, reservoir and flooded forest.'),</v>
      </c>
    </row>
    <row r="38" spans="1:16" ht="41.4" x14ac:dyDescent="0.3">
      <c r="A38" s="12" t="s">
        <v>155</v>
      </c>
      <c r="B38" s="12" t="s">
        <v>39</v>
      </c>
      <c r="C38" s="12" t="s">
        <v>14</v>
      </c>
      <c r="D38" s="12" t="s">
        <v>17</v>
      </c>
      <c r="E38" s="13">
        <v>220</v>
      </c>
      <c r="F38" s="13">
        <v>2</v>
      </c>
      <c r="G38" s="13">
        <v>5</v>
      </c>
      <c r="H38" s="13">
        <v>10</v>
      </c>
      <c r="I38" s="13">
        <v>35</v>
      </c>
      <c r="J38" s="14" t="s">
        <v>156</v>
      </c>
      <c r="K38" s="14" t="s">
        <v>128</v>
      </c>
      <c r="L38" s="14" t="s">
        <v>56</v>
      </c>
      <c r="M38" s="14" t="s">
        <v>616</v>
      </c>
      <c r="N38" s="3" cm="1">
        <f t="array" ref="N38">_xlfn.IFS(B38="Freshwater",1,B38="Brackish",2,B38="Seawater",3)</f>
        <v>1</v>
      </c>
      <c r="O38" s="3" cm="1">
        <f t="array" ref="O38">_xlfn.IFS(D38="Common",1,D38="Uncommon",2,D38="Rare",3,D38="Legendary",4,D38="Mythical",5,D38="Event",6)</f>
        <v>2</v>
      </c>
      <c r="P38" s="5" t="str">
        <f t="shared" si="0"/>
        <v>('Gibel Carp',1,2,220,2,5,10,35,'Gibel Carp reproduce and spread so rapidly that it is said that it can fill an entire medium-sized pond in its species alone.'),</v>
      </c>
    </row>
    <row r="39" spans="1:16" ht="41.4" x14ac:dyDescent="0.3">
      <c r="A39" s="12" t="s">
        <v>157</v>
      </c>
      <c r="B39" s="12" t="s">
        <v>39</v>
      </c>
      <c r="C39" s="12" t="s">
        <v>14</v>
      </c>
      <c r="D39" s="12" t="s">
        <v>17</v>
      </c>
      <c r="E39" s="13">
        <v>210</v>
      </c>
      <c r="F39" s="13">
        <v>1</v>
      </c>
      <c r="G39" s="13">
        <v>3</v>
      </c>
      <c r="H39" s="13">
        <v>15</v>
      </c>
      <c r="I39" s="13">
        <v>64</v>
      </c>
      <c r="J39" s="14" t="s">
        <v>158</v>
      </c>
      <c r="K39" s="14" t="s">
        <v>128</v>
      </c>
      <c r="L39" s="14" t="s">
        <v>159</v>
      </c>
      <c r="M39" s="14" t="s">
        <v>617</v>
      </c>
      <c r="N39" s="3" cm="1">
        <f t="array" ref="N39">_xlfn.IFS(B39="Freshwater",1,B39="Brackish",2,B39="Seawater",3)</f>
        <v>1</v>
      </c>
      <c r="O39" s="3" cm="1">
        <f t="array" ref="O39">_xlfn.IFS(D39="Common",1,D39="Uncommon",2,D39="Rare",3,D39="Legendary",4,D39="Mythical",5,D39="Event",6)</f>
        <v>2</v>
      </c>
      <c r="P39" s="5" t="str">
        <f t="shared" si="0"/>
        <v>('Crucian Carp',1,2,210,1,3,15,64,'This fish mainly lived in nutrient-rich water, but it can also lived in an extreme condition and harsh winter.'),</v>
      </c>
    </row>
    <row r="40" spans="1:16" ht="27.6" x14ac:dyDescent="0.3">
      <c r="A40" s="12" t="s">
        <v>220</v>
      </c>
      <c r="B40" s="12" t="s">
        <v>39</v>
      </c>
      <c r="C40" s="12" t="s">
        <v>221</v>
      </c>
      <c r="D40" s="12" t="s">
        <v>15</v>
      </c>
      <c r="E40" s="13">
        <v>850</v>
      </c>
      <c r="F40" s="13">
        <v>4</v>
      </c>
      <c r="G40" s="13">
        <v>26</v>
      </c>
      <c r="H40" s="13">
        <v>30</v>
      </c>
      <c r="I40" s="13">
        <v>132</v>
      </c>
      <c r="J40" s="14" t="s">
        <v>222</v>
      </c>
      <c r="K40" s="14" t="s">
        <v>64</v>
      </c>
      <c r="L40" s="14" t="s">
        <v>410</v>
      </c>
      <c r="M40" s="14" t="s">
        <v>594</v>
      </c>
      <c r="N40" s="3" cm="1">
        <f t="array" ref="N40">_xlfn.IFS(B40="Freshwater",1,B40="Brackish",2,B40="Seawater",3)</f>
        <v>1</v>
      </c>
      <c r="O40" s="3" cm="1">
        <f t="array" ref="O40">_xlfn.IFS(D40="Common",1,D40="Uncommon",2,D40="Rare",3,D40="Legendary",4,D40="Mythical",5,D40="Event",6)</f>
        <v>1</v>
      </c>
      <c r="P40" s="5" t="str">
        <f t="shared" si="0"/>
        <v>('Channel Catfish',1,1,850,4,26,30,132,'This cafish can be found all over Endral's river and stream. '),</v>
      </c>
    </row>
    <row r="41" spans="1:16" ht="41.4" x14ac:dyDescent="0.3">
      <c r="A41" s="12" t="s">
        <v>246</v>
      </c>
      <c r="B41" s="12" t="s">
        <v>39</v>
      </c>
      <c r="C41" s="12" t="s">
        <v>221</v>
      </c>
      <c r="D41" s="12" t="s">
        <v>20</v>
      </c>
      <c r="E41" s="13">
        <v>100</v>
      </c>
      <c r="F41" s="13">
        <v>40</v>
      </c>
      <c r="G41" s="13">
        <v>300</v>
      </c>
      <c r="H41" s="13">
        <v>30</v>
      </c>
      <c r="I41" s="13">
        <v>270</v>
      </c>
      <c r="J41" s="14" t="s">
        <v>248</v>
      </c>
      <c r="K41" s="14" t="s">
        <v>54</v>
      </c>
      <c r="L41" s="14" t="s">
        <v>247</v>
      </c>
      <c r="M41" s="14" t="s">
        <v>50</v>
      </c>
      <c r="N41" s="3" cm="1">
        <f t="array" ref="N41">_xlfn.IFS(B41="Freshwater",1,B41="Brackish",2,B41="Seawater",3)</f>
        <v>1</v>
      </c>
      <c r="O41" s="3" cm="1">
        <f t="array" ref="O41">_xlfn.IFS(D41="Common",1,D41="Uncommon",2,D41="Rare",3,D41="Legendary",4,D41="Mythical",5,D41="Event",6)</f>
        <v>3</v>
      </c>
      <c r="P41" s="5" t="str">
        <f t="shared" si="0"/>
        <v>('Bengawan Giant Catfish',1,3,100,40,300,30,270,'In Ourea, they call this fish Iremia Giant Catfish. Known for its enormous size, its main diet is algae and aquatic vegetation.'),</v>
      </c>
    </row>
    <row r="42" spans="1:16" ht="41.4" x14ac:dyDescent="0.3">
      <c r="A42" s="12" t="s">
        <v>223</v>
      </c>
      <c r="B42" s="12" t="s">
        <v>39</v>
      </c>
      <c r="C42" s="12" t="s">
        <v>221</v>
      </c>
      <c r="D42" s="12" t="s">
        <v>17</v>
      </c>
      <c r="E42" s="13">
        <v>201</v>
      </c>
      <c r="F42" s="13">
        <v>9</v>
      </c>
      <c r="G42" s="13">
        <v>65</v>
      </c>
      <c r="H42" s="13">
        <v>31</v>
      </c>
      <c r="I42" s="13">
        <v>180</v>
      </c>
      <c r="J42" s="14" t="s">
        <v>862</v>
      </c>
      <c r="K42" s="14" t="s">
        <v>202</v>
      </c>
      <c r="L42" s="14" t="s">
        <v>60</v>
      </c>
      <c r="M42" s="14" t="s">
        <v>613</v>
      </c>
      <c r="N42" s="3" cm="1">
        <f t="array" ref="N42">_xlfn.IFS(B42="Freshwater",1,B42="Brackish",2,B42="Seawater",3)</f>
        <v>1</v>
      </c>
      <c r="O42" s="3" cm="1">
        <f t="array" ref="O42">_xlfn.IFS(D42="Common",1,D42="Uncommon",2,D42="Rare",3,D42="Legendary",4,D42="Mythical",5,D42="Event",6)</f>
        <v>2</v>
      </c>
      <c r="P42" s="5" t="str">
        <f t="shared" si="0"/>
        <v>('Blue Catfish',1,2,201,9,65,31,180,'Blue Catfish are often misidentified as Channel Catfish, the difference are the heavy bodied, blueish gray in color, and a upper hump.'),</v>
      </c>
    </row>
    <row r="43" spans="1:16" ht="41.4" x14ac:dyDescent="0.3">
      <c r="A43" s="12" t="s">
        <v>239</v>
      </c>
      <c r="B43" s="12" t="s">
        <v>39</v>
      </c>
      <c r="C43" s="12" t="s">
        <v>221</v>
      </c>
      <c r="D43" s="12" t="s">
        <v>17</v>
      </c>
      <c r="E43" s="13">
        <v>400</v>
      </c>
      <c r="F43" s="13" t="s">
        <v>240</v>
      </c>
      <c r="G43" s="13">
        <v>56</v>
      </c>
      <c r="H43" s="13">
        <v>32</v>
      </c>
      <c r="I43" s="13">
        <v>175</v>
      </c>
      <c r="J43" s="14" t="s">
        <v>250</v>
      </c>
      <c r="K43" s="14" t="s">
        <v>167</v>
      </c>
      <c r="L43" s="14" t="s">
        <v>812</v>
      </c>
      <c r="M43" s="14" t="s">
        <v>618</v>
      </c>
      <c r="N43" s="3" cm="1">
        <f t="array" ref="N43">_xlfn.IFS(B43="Freshwater",1,B43="Brackish",2,B43="Seawater",3)</f>
        <v>1</v>
      </c>
      <c r="O43" s="3" cm="1">
        <f t="array" ref="O43">_xlfn.IFS(D43="Common",1,D43="Uncommon",2,D43="Rare",3,D43="Legendary",4,D43="Mythical",5,D43="Event",6)</f>
        <v>2</v>
      </c>
      <c r="P43" s="5" t="str">
        <f t="shared" si="0"/>
        <v>('Flathead Catfish',1,2,400,8.5,56,32,175,'An ambush predator lurking beneath logs and rocks until unsuspecting prey fish get close.'),</v>
      </c>
    </row>
    <row r="44" spans="1:16" ht="41.4" x14ac:dyDescent="0.3">
      <c r="A44" s="12" t="s">
        <v>241</v>
      </c>
      <c r="B44" s="12" t="s">
        <v>39</v>
      </c>
      <c r="C44" s="12" t="s">
        <v>221</v>
      </c>
      <c r="D44" s="12" t="s">
        <v>17</v>
      </c>
      <c r="E44" s="13">
        <v>390</v>
      </c>
      <c r="F44" s="13" t="s">
        <v>242</v>
      </c>
      <c r="G44" s="13">
        <v>30</v>
      </c>
      <c r="H44" s="13">
        <v>25</v>
      </c>
      <c r="I44" s="13">
        <v>100</v>
      </c>
      <c r="J44" s="14" t="s">
        <v>245</v>
      </c>
      <c r="K44" s="14" t="s">
        <v>104</v>
      </c>
      <c r="L44" s="14" t="s">
        <v>244</v>
      </c>
      <c r="M44" s="14" t="s">
        <v>619</v>
      </c>
      <c r="N44" s="3" cm="1">
        <f t="array" ref="N44">_xlfn.IFS(B44="Freshwater",1,B44="Brackish",2,B44="Seawater",3)</f>
        <v>1</v>
      </c>
      <c r="O44" s="3" cm="1">
        <f t="array" ref="O44">_xlfn.IFS(D44="Common",1,D44="Uncommon",2,D44="Rare",3,D44="Legendary",4,D44="Mythical",5,D44="Event",6)</f>
        <v>2</v>
      </c>
      <c r="P44" s="5" t="str">
        <f t="shared" si="0"/>
        <v>('Walking Catfish',1,2,390,7.2,30,25,100,'When the river dried out, this fish would "walk" around the river in wiggling motion to traverse the land.'),</v>
      </c>
    </row>
    <row r="45" spans="1:16" ht="41.4" x14ac:dyDescent="0.3">
      <c r="A45" s="12" t="s">
        <v>249</v>
      </c>
      <c r="B45" s="12" t="s">
        <v>39</v>
      </c>
      <c r="C45" s="12" t="s">
        <v>221</v>
      </c>
      <c r="D45" s="12" t="s">
        <v>17</v>
      </c>
      <c r="E45" s="13">
        <v>250</v>
      </c>
      <c r="F45" s="13">
        <v>20</v>
      </c>
      <c r="G45" s="13">
        <v>80</v>
      </c>
      <c r="H45" s="13">
        <v>23</v>
      </c>
      <c r="I45" s="13">
        <v>180</v>
      </c>
      <c r="J45" s="14" t="s">
        <v>863</v>
      </c>
      <c r="K45" s="14" t="s">
        <v>117</v>
      </c>
      <c r="L45" s="14" t="s">
        <v>60</v>
      </c>
      <c r="M45" s="14" t="s">
        <v>620</v>
      </c>
      <c r="N45" s="3" cm="1">
        <f t="array" ref="N45">_xlfn.IFS(B45="Freshwater",1,B45="Brackish",2,B45="Seawater",3)</f>
        <v>1</v>
      </c>
      <c r="O45" s="3" cm="1">
        <f t="array" ref="O45">_xlfn.IFS(D45="Common",1,D45="Uncommon",2,D45="Rare",3,D45="Legendary",4,D45="Mythical",5,D45="Event",6)</f>
        <v>2</v>
      </c>
      <c r="P45" s="5" t="str">
        <f t="shared" si="0"/>
        <v>('Redtail Catfish',1,2,250,20,80,23,180,'These colorful large catfishes have a brownish back, with yellow sides, and characteristic orange-red upper fin and caudal fin'),</v>
      </c>
    </row>
    <row r="46" spans="1:16" ht="55.2" x14ac:dyDescent="0.3">
      <c r="A46" s="12" t="s">
        <v>273</v>
      </c>
      <c r="B46" s="12" t="s">
        <v>39</v>
      </c>
      <c r="C46" s="12" t="s">
        <v>274</v>
      </c>
      <c r="D46" s="12" t="s">
        <v>17</v>
      </c>
      <c r="E46" s="13">
        <v>300</v>
      </c>
      <c r="F46" s="13">
        <v>25</v>
      </c>
      <c r="G46" s="13">
        <v>150</v>
      </c>
      <c r="H46" s="13">
        <v>75</v>
      </c>
      <c r="I46" s="13">
        <v>250</v>
      </c>
      <c r="J46" s="14" t="s">
        <v>275</v>
      </c>
      <c r="K46" s="14" t="s">
        <v>177</v>
      </c>
      <c r="L46" s="14" t="s">
        <v>63</v>
      </c>
      <c r="M46" s="14" t="s">
        <v>621</v>
      </c>
      <c r="N46" s="3" cm="1">
        <f t="array" ref="N46">_xlfn.IFS(B46="Freshwater",1,B46="Brackish",2,B46="Seawater",3)</f>
        <v>1</v>
      </c>
      <c r="O46" s="3" cm="1">
        <f t="array" ref="O46">_xlfn.IFS(D46="Common",1,D46="Uncommon",2,D46="Rare",3,D46="Legendary",4,D46="Mythical",5,D46="Event",6)</f>
        <v>2</v>
      </c>
      <c r="P46" s="5" t="str">
        <f t="shared" si="0"/>
        <v>('Alligator Gar',1,2,300,25,150,75,250,'The body of an alligator gar is torpedo-shaped, usually brown or olive colored, and occasionally black, fading to a lighter gray or yellow ventral surface.'),</v>
      </c>
    </row>
    <row r="47" spans="1:16" ht="41.4" x14ac:dyDescent="0.3">
      <c r="A47" s="12" t="s">
        <v>381</v>
      </c>
      <c r="B47" s="12" t="s">
        <v>39</v>
      </c>
      <c r="C47" s="12" t="s">
        <v>382</v>
      </c>
      <c r="D47" s="12" t="s">
        <v>15</v>
      </c>
      <c r="E47" s="13">
        <v>625</v>
      </c>
      <c r="F47" s="13" t="s">
        <v>256</v>
      </c>
      <c r="G47" s="13">
        <v>9</v>
      </c>
      <c r="H47" s="13" t="s">
        <v>383</v>
      </c>
      <c r="I47" s="13">
        <v>80</v>
      </c>
      <c r="J47" s="14" t="s">
        <v>864</v>
      </c>
      <c r="K47" s="14" t="s">
        <v>64</v>
      </c>
      <c r="L47" s="14" t="s">
        <v>375</v>
      </c>
      <c r="M47" s="14" t="s">
        <v>595</v>
      </c>
      <c r="N47" s="3" cm="1">
        <f t="array" ref="N47">_xlfn.IFS(B47="Freshwater",1,B47="Brackish",2,B47="Seawater",3)</f>
        <v>1</v>
      </c>
      <c r="O47" s="3" cm="1">
        <f t="array" ref="O47">_xlfn.IFS(D47="Common",1,D47="Uncommon",2,D47="Rare",3,D47="Legendary",4,D47="Mythical",5,D47="Event",6)</f>
        <v>1</v>
      </c>
      <c r="P47" s="5" t="str">
        <f t="shared" si="0"/>
        <v>('Walleye',1,1,625,1.2,9,12.5,80,'Walleyes are largely olive and gold in color. The upper side of a walleye is olive, grading into a golden hue on the flanks.'),</v>
      </c>
    </row>
    <row r="48" spans="1:16" ht="55.2" x14ac:dyDescent="0.3">
      <c r="A48" s="12" t="s">
        <v>384</v>
      </c>
      <c r="B48" s="12" t="s">
        <v>39</v>
      </c>
      <c r="C48" s="12" t="s">
        <v>382</v>
      </c>
      <c r="D48" s="12" t="s">
        <v>15</v>
      </c>
      <c r="E48" s="13">
        <v>660</v>
      </c>
      <c r="F48" s="13" t="s">
        <v>201</v>
      </c>
      <c r="G48" s="13">
        <v>4</v>
      </c>
      <c r="H48" s="13" t="s">
        <v>385</v>
      </c>
      <c r="I48" s="13">
        <v>56</v>
      </c>
      <c r="J48" s="14" t="s">
        <v>386</v>
      </c>
      <c r="K48" s="14" t="s">
        <v>173</v>
      </c>
      <c r="L48" s="14" t="s">
        <v>159</v>
      </c>
      <c r="M48" s="14" t="s">
        <v>601</v>
      </c>
      <c r="N48" s="3" cm="1">
        <f t="array" ref="N48">_xlfn.IFS(B48="Freshwater",1,B48="Brackish",2,B48="Seawater",3)</f>
        <v>1</v>
      </c>
      <c r="O48" s="3" cm="1">
        <f t="array" ref="O48">_xlfn.IFS(D48="Common",1,D48="Uncommon",2,D48="Rare",3,D48="Legendary",4,D48="Mythical",5,D48="Event",6)</f>
        <v>1</v>
      </c>
      <c r="P48" s="5" t="str">
        <f t="shared" si="0"/>
        <v>('Sauger',1,1,660,0.9,4,10.5,56,'Saugers generally move upstream to spawn during Autumn, depending on where they are. They move downstream to their home locations from Summer after their spawning period is over.'),</v>
      </c>
    </row>
    <row r="49" spans="1:16" ht="55.2" x14ac:dyDescent="0.3">
      <c r="A49" s="12" t="s">
        <v>387</v>
      </c>
      <c r="B49" s="12" t="s">
        <v>39</v>
      </c>
      <c r="C49" s="12" t="s">
        <v>382</v>
      </c>
      <c r="D49" s="12" t="s">
        <v>15</v>
      </c>
      <c r="E49" s="13">
        <v>425</v>
      </c>
      <c r="F49" s="13" t="s">
        <v>27</v>
      </c>
      <c r="G49" s="13">
        <v>2</v>
      </c>
      <c r="H49" s="13" t="s">
        <v>388</v>
      </c>
      <c r="I49" s="13">
        <v>50</v>
      </c>
      <c r="J49" s="14" t="s">
        <v>389</v>
      </c>
      <c r="K49" s="14" t="s">
        <v>202</v>
      </c>
      <c r="L49" s="14" t="s">
        <v>56</v>
      </c>
      <c r="M49" s="14" t="s">
        <v>602</v>
      </c>
      <c r="N49" s="3" cm="1">
        <f t="array" ref="N49">_xlfn.IFS(B49="Freshwater",1,B49="Brackish",2,B49="Seawater",3)</f>
        <v>1</v>
      </c>
      <c r="O49" s="3" cm="1">
        <f t="array" ref="O49">_xlfn.IFS(D49="Common",1,D49="Uncommon",2,D49="Rare",3,D49="Legendary",4,D49="Mythical",5,D49="Event",6)</f>
        <v>1</v>
      </c>
      <c r="P49" s="5" t="str">
        <f t="shared" si="0"/>
        <v>('Yellow Perch',1,1,425,0.5,2,10.2,50,'The yellow perch has an elongate, laterally compressed body with a subterminal mouth and a relatively long but blunt snout, which is surpassed in length by the lower jaw.'),</v>
      </c>
    </row>
    <row r="50" spans="1:16" ht="55.2" x14ac:dyDescent="0.3">
      <c r="A50" s="12" t="s">
        <v>390</v>
      </c>
      <c r="B50" s="12" t="s">
        <v>39</v>
      </c>
      <c r="C50" s="12" t="s">
        <v>382</v>
      </c>
      <c r="D50" s="12" t="s">
        <v>17</v>
      </c>
      <c r="E50" s="13">
        <v>275</v>
      </c>
      <c r="F50" s="13" t="s">
        <v>256</v>
      </c>
      <c r="G50" s="13">
        <v>15</v>
      </c>
      <c r="H50" s="13">
        <v>25</v>
      </c>
      <c r="I50" s="13">
        <v>100</v>
      </c>
      <c r="J50" s="14" t="s">
        <v>391</v>
      </c>
      <c r="K50" s="14" t="s">
        <v>167</v>
      </c>
      <c r="L50" s="14" t="s">
        <v>347</v>
      </c>
      <c r="M50" s="14" t="s">
        <v>622</v>
      </c>
      <c r="N50" s="3" cm="1">
        <f t="array" ref="N50">_xlfn.IFS(B50="Freshwater",1,B50="Brackish",2,B50="Seawater",3)</f>
        <v>1</v>
      </c>
      <c r="O50" s="3" cm="1">
        <f t="array" ref="O50">_xlfn.IFS(D50="Common",1,D50="Uncommon",2,D50="Rare",3,D50="Legendary",4,D50="Mythical",5,D50="Event",6)</f>
        <v>2</v>
      </c>
      <c r="P50" s="5" t="str">
        <f t="shared" si="0"/>
        <v>('Pikeperch',1,2,275,1.2,15,25,100,'The Pikeperch is the largest member of the perch family. The upper part of its body is green-brown in colour, and this extends onto the sides as dark vertical bars.'),</v>
      </c>
    </row>
    <row r="51" spans="1:16" ht="41.4" x14ac:dyDescent="0.3">
      <c r="A51" s="12" t="s">
        <v>392</v>
      </c>
      <c r="B51" s="12" t="s">
        <v>39</v>
      </c>
      <c r="C51" s="12" t="s">
        <v>382</v>
      </c>
      <c r="D51" s="12" t="s">
        <v>17</v>
      </c>
      <c r="E51" s="13">
        <v>300</v>
      </c>
      <c r="F51" s="13" t="s">
        <v>213</v>
      </c>
      <c r="G51" s="13" t="s">
        <v>198</v>
      </c>
      <c r="H51" s="13" t="s">
        <v>393</v>
      </c>
      <c r="I51" s="13">
        <v>25</v>
      </c>
      <c r="J51" s="14" t="s">
        <v>865</v>
      </c>
      <c r="K51" s="14" t="s">
        <v>117</v>
      </c>
      <c r="L51" s="14" t="s">
        <v>289</v>
      </c>
      <c r="M51" s="14" t="s">
        <v>623</v>
      </c>
      <c r="N51" s="3" cm="1">
        <f t="array" ref="N51">_xlfn.IFS(B51="Freshwater",1,B51="Brackish",2,B51="Seawater",3)</f>
        <v>1</v>
      </c>
      <c r="O51" s="3" cm="1">
        <f t="array" ref="O51">_xlfn.IFS(D51="Common",1,D51="Uncommon",2,D51="Rare",3,D51="Legendary",4,D51="Mythical",5,D51="Event",6)</f>
        <v>2</v>
      </c>
      <c r="P51" s="5" t="str">
        <f t="shared" si="0"/>
        <v>('Ruffe',1,2,300,0.1,0.2,5.2,25,'It is a very aggressive fish for its size. The ruffe also has a large, spiny upper fin which is likely distasteful to its predators'),</v>
      </c>
    </row>
    <row r="52" spans="1:16" ht="55.2" x14ac:dyDescent="0.3">
      <c r="A52" s="12" t="s">
        <v>371</v>
      </c>
      <c r="B52" s="12" t="s">
        <v>39</v>
      </c>
      <c r="C52" s="12" t="s">
        <v>372</v>
      </c>
      <c r="D52" s="12" t="s">
        <v>15</v>
      </c>
      <c r="E52" s="13">
        <v>825</v>
      </c>
      <c r="F52" s="13">
        <v>10</v>
      </c>
      <c r="G52" s="13">
        <v>30</v>
      </c>
      <c r="H52" s="13">
        <v>30</v>
      </c>
      <c r="I52" s="13">
        <v>150</v>
      </c>
      <c r="J52" s="14" t="s">
        <v>373</v>
      </c>
      <c r="K52" s="14" t="s">
        <v>64</v>
      </c>
      <c r="L52" s="14" t="s">
        <v>247</v>
      </c>
      <c r="M52" s="14" t="s">
        <v>596</v>
      </c>
      <c r="N52" s="3" cm="1">
        <f t="array" ref="N52">_xlfn.IFS(B52="Freshwater",1,B52="Brackish",2,B52="Seawater",3)</f>
        <v>1</v>
      </c>
      <c r="O52" s="3" cm="1">
        <f t="array" ref="O52">_xlfn.IFS(D52="Common",1,D52="Uncommon",2,D52="Rare",3,D52="Legendary",4,D52="Mythical",5,D52="Event",6)</f>
        <v>1</v>
      </c>
      <c r="P52" s="5" t="str">
        <f t="shared" si="0"/>
        <v>('Northern Pike',1,1,825,10,30,30,150,'Northern pike are most often olive green, shading from yellow to white along the belly. The flank is marked with short, light bar-like spots and a few to many dark spots on the fins.'),</v>
      </c>
    </row>
    <row r="53" spans="1:16" ht="41.4" x14ac:dyDescent="0.3">
      <c r="A53" s="12" t="s">
        <v>374</v>
      </c>
      <c r="B53" s="12" t="s">
        <v>39</v>
      </c>
      <c r="C53" s="12" t="s">
        <v>372</v>
      </c>
      <c r="D53" s="12" t="s">
        <v>15</v>
      </c>
      <c r="E53" s="13">
        <v>725</v>
      </c>
      <c r="F53" s="13" t="s">
        <v>256</v>
      </c>
      <c r="G53" s="13" t="s">
        <v>174</v>
      </c>
      <c r="H53" s="13">
        <v>40</v>
      </c>
      <c r="I53" s="13">
        <v>79</v>
      </c>
      <c r="J53" s="14" t="s">
        <v>872</v>
      </c>
      <c r="K53" s="14" t="s">
        <v>64</v>
      </c>
      <c r="L53" s="14" t="s">
        <v>375</v>
      </c>
      <c r="M53" s="14" t="s">
        <v>597</v>
      </c>
      <c r="N53" s="3" cm="1">
        <f t="array" ref="N53">_xlfn.IFS(B53="Freshwater",1,B53="Brackish",2,B53="Seawater",3)</f>
        <v>1</v>
      </c>
      <c r="O53" s="3" cm="1">
        <f t="array" ref="O53">_xlfn.IFS(D53="Common",1,D53="Uncommon",2,D53="Rare",3,D53="Legendary",4,D53="Mythical",5,D53="Event",6)</f>
        <v>1</v>
      </c>
      <c r="P53" s="5" t="str">
        <f t="shared" si="0"/>
        <v>('Southern Pike',1,1,725,1.2,4.5,40,79,'The southern pike has a distinctive, dark, chain-like pattern on its greenish sides. There is a vertical dark marking underneath the eye'),</v>
      </c>
    </row>
    <row r="54" spans="1:16" ht="41.4" x14ac:dyDescent="0.3">
      <c r="A54" s="12" t="s">
        <v>376</v>
      </c>
      <c r="B54" s="12" t="s">
        <v>39</v>
      </c>
      <c r="C54" s="12" t="s">
        <v>372</v>
      </c>
      <c r="D54" s="12" t="s">
        <v>15</v>
      </c>
      <c r="E54" s="13">
        <v>500</v>
      </c>
      <c r="F54" s="13">
        <v>5</v>
      </c>
      <c r="G54" s="13">
        <v>32</v>
      </c>
      <c r="H54" s="13">
        <v>45</v>
      </c>
      <c r="I54" s="13">
        <v>180</v>
      </c>
      <c r="J54" s="14" t="s">
        <v>377</v>
      </c>
      <c r="K54" s="14" t="s">
        <v>173</v>
      </c>
      <c r="L54" s="14" t="s">
        <v>58</v>
      </c>
      <c r="M54" s="14" t="s">
        <v>603</v>
      </c>
      <c r="N54" s="3" cm="1">
        <f t="array" ref="N54">_xlfn.IFS(B54="Freshwater",1,B54="Brackish",2,B54="Seawater",3)</f>
        <v>1</v>
      </c>
      <c r="O54" s="3" cm="1">
        <f t="array" ref="O54">_xlfn.IFS(D54="Common",1,D54="Uncommon",2,D54="Rare",3,D54="Legendary",4,D54="Mythical",5,D54="Event",6)</f>
        <v>1</v>
      </c>
      <c r="P54" s="5" t="str">
        <f t="shared" si="0"/>
        <v>('Muskie',1,1,500,5,32,45,180,'Muskies are the top predator in any body of water where they occur, and they will eat larger prey than most other freshwater fish.'),</v>
      </c>
    </row>
    <row r="55" spans="1:16" ht="41.4" x14ac:dyDescent="0.3">
      <c r="A55" s="12" t="s">
        <v>378</v>
      </c>
      <c r="B55" s="12" t="s">
        <v>39</v>
      </c>
      <c r="C55" s="12" t="s">
        <v>372</v>
      </c>
      <c r="D55" s="12" t="s">
        <v>17</v>
      </c>
      <c r="E55" s="13">
        <v>250</v>
      </c>
      <c r="F55" s="13" t="s">
        <v>205</v>
      </c>
      <c r="G55" s="13" t="s">
        <v>28</v>
      </c>
      <c r="H55" s="13">
        <v>3</v>
      </c>
      <c r="I55" s="13">
        <v>31</v>
      </c>
      <c r="J55" s="14" t="s">
        <v>380</v>
      </c>
      <c r="K55" s="14" t="s">
        <v>54</v>
      </c>
      <c r="L55" s="14" t="s">
        <v>379</v>
      </c>
      <c r="M55" s="14" t="s">
        <v>624</v>
      </c>
      <c r="N55" s="3" cm="1">
        <f t="array" ref="N55">_xlfn.IFS(B55="Freshwater",1,B55="Brackish",2,B55="Seawater",3)</f>
        <v>1</v>
      </c>
      <c r="O55" s="3" cm="1">
        <f t="array" ref="O55">_xlfn.IFS(D55="Common",1,D55="Uncommon",2,D55="Rare",3,D55="Legendary",4,D55="Mythical",5,D55="Event",6)</f>
        <v>2</v>
      </c>
      <c r="P55" s="5" t="str">
        <f t="shared" si="0"/>
        <v>('Redfin Pickerel',1,2,250,0.3,1.5,3,31,'The redfin pickerel is an ambush predator, lying in wait for unsuspecting prey animals to get within striking range.'),</v>
      </c>
    </row>
    <row r="56" spans="1:16" ht="27.6" x14ac:dyDescent="0.3">
      <c r="A56" s="12" t="s">
        <v>36</v>
      </c>
      <c r="B56" s="12" t="s">
        <v>39</v>
      </c>
      <c r="C56" s="12" t="s">
        <v>169</v>
      </c>
      <c r="D56" s="12" t="s">
        <v>15</v>
      </c>
      <c r="E56" s="13">
        <v>650</v>
      </c>
      <c r="F56" s="13" t="s">
        <v>27</v>
      </c>
      <c r="G56" s="13">
        <v>2</v>
      </c>
      <c r="H56" s="13">
        <v>15</v>
      </c>
      <c r="I56" s="13">
        <v>39</v>
      </c>
      <c r="J56" s="14" t="s">
        <v>38</v>
      </c>
      <c r="K56" s="14" t="s">
        <v>54</v>
      </c>
      <c r="L56" s="14" t="s">
        <v>604</v>
      </c>
      <c r="M56" s="14" t="s">
        <v>605</v>
      </c>
      <c r="N56" s="3" cm="1">
        <f t="array" ref="N56">_xlfn.IFS(B56="Freshwater",1,B56="Brackish",2,B56="Seawater",3)</f>
        <v>1</v>
      </c>
      <c r="O56" s="3" cm="1">
        <f t="array" ref="O56">_xlfn.IFS(D56="Common",1,D56="Uncommon",2,D56="Rare",3,D56="Legendary",4,D56="Mythical",5,D56="Event",6)</f>
        <v>1</v>
      </c>
      <c r="P56" s="5" t="str">
        <f t="shared" si="0"/>
        <v>('Bluegill',1,1,650,0.5,2,15,39,'This insect lover usually hide near a cover and ambush their prey.'),</v>
      </c>
    </row>
    <row r="57" spans="1:16" ht="41.4" x14ac:dyDescent="0.3">
      <c r="A57" s="12" t="s">
        <v>194</v>
      </c>
      <c r="B57" s="12" t="s">
        <v>39</v>
      </c>
      <c r="C57" s="12" t="s">
        <v>169</v>
      </c>
      <c r="D57" s="12" t="s">
        <v>15</v>
      </c>
      <c r="E57" s="13">
        <v>660</v>
      </c>
      <c r="F57" s="13" t="s">
        <v>195</v>
      </c>
      <c r="G57" s="13">
        <v>1</v>
      </c>
      <c r="H57" s="13">
        <v>10</v>
      </c>
      <c r="I57" s="13">
        <v>28</v>
      </c>
      <c r="J57" s="14" t="s">
        <v>196</v>
      </c>
      <c r="K57" s="14" t="s">
        <v>173</v>
      </c>
      <c r="L57" s="14" t="s">
        <v>63</v>
      </c>
      <c r="M57" s="14" t="s">
        <v>606</v>
      </c>
      <c r="N57" s="3" cm="1">
        <f t="array" ref="N57">_xlfn.IFS(B57="Freshwater",1,B57="Brackish",2,B57="Seawater",3)</f>
        <v>1</v>
      </c>
      <c r="O57" s="3" cm="1">
        <f t="array" ref="O57">_xlfn.IFS(D57="Common",1,D57="Uncommon",2,D57="Rare",3,D57="Legendary",4,D57="Mythical",5,D57="Event",6)</f>
        <v>1</v>
      </c>
      <c r="P57" s="5" t="str">
        <f t="shared" si="0"/>
        <v>('Pumpkinseed',1,1,660,0.4,1,10,28,'Pumpkinseeds have a body shaped much like a pumpkin seed with a vibrant orange, green, yellow, or blue body.'),</v>
      </c>
    </row>
    <row r="58" spans="1:16" ht="27.6" x14ac:dyDescent="0.3">
      <c r="A58" s="12" t="s">
        <v>200</v>
      </c>
      <c r="B58" s="12" t="s">
        <v>39</v>
      </c>
      <c r="C58" s="12" t="s">
        <v>169</v>
      </c>
      <c r="D58" s="12" t="s">
        <v>15</v>
      </c>
      <c r="E58" s="13">
        <v>670</v>
      </c>
      <c r="F58" s="13" t="s">
        <v>198</v>
      </c>
      <c r="G58" s="13" t="s">
        <v>201</v>
      </c>
      <c r="H58" s="13">
        <v>7</v>
      </c>
      <c r="I58" s="13">
        <v>30</v>
      </c>
      <c r="J58" s="14" t="s">
        <v>203</v>
      </c>
      <c r="K58" s="14" t="s">
        <v>202</v>
      </c>
      <c r="L58" s="14" t="s">
        <v>63</v>
      </c>
      <c r="M58" s="14" t="s">
        <v>607</v>
      </c>
      <c r="N58" s="3" cm="1">
        <f t="array" ref="N58">_xlfn.IFS(B58="Freshwater",1,B58="Brackish",2,B58="Seawater",3)</f>
        <v>1</v>
      </c>
      <c r="O58" s="3" cm="1">
        <f t="array" ref="O58">_xlfn.IFS(D58="Common",1,D58="Uncommon",2,D58="Rare",3,D58="Legendary",4,D58="Mythical",5,D58="Event",6)</f>
        <v>1</v>
      </c>
      <c r="P58" s="5" t="str">
        <f t="shared" si="0"/>
        <v>('Green Sunfish',1,1,670,0.2,0.9,7,30,'This fish is highly territorial and aggressive, local fishermen refered to its as a bullies of the water.'),</v>
      </c>
    </row>
    <row r="59" spans="1:16" ht="27.6" x14ac:dyDescent="0.3">
      <c r="A59" s="12" t="s">
        <v>218</v>
      </c>
      <c r="B59" s="12" t="s">
        <v>39</v>
      </c>
      <c r="C59" s="12" t="s">
        <v>169</v>
      </c>
      <c r="D59" s="12" t="s">
        <v>20</v>
      </c>
      <c r="E59" s="13">
        <v>125</v>
      </c>
      <c r="F59" s="13" t="s">
        <v>213</v>
      </c>
      <c r="G59" s="13" t="s">
        <v>27</v>
      </c>
      <c r="H59" s="13">
        <v>5</v>
      </c>
      <c r="I59" s="13">
        <v>8</v>
      </c>
      <c r="J59" s="14" t="s">
        <v>219</v>
      </c>
      <c r="K59" s="14" t="s">
        <v>117</v>
      </c>
      <c r="L59" s="14" t="s">
        <v>57</v>
      </c>
      <c r="M59" s="14" t="s">
        <v>589</v>
      </c>
      <c r="N59" s="3" cm="1">
        <f t="array" ref="N59">_xlfn.IFS(B59="Freshwater",1,B59="Brackish",2,B59="Seawater",3)</f>
        <v>1</v>
      </c>
      <c r="O59" s="3" cm="1">
        <f t="array" ref="O59">_xlfn.IFS(D59="Common",1,D59="Uncommon",2,D59="Rare",3,D59="Legendary",4,D59="Mythical",5,D59="Event",6)</f>
        <v>3</v>
      </c>
      <c r="P59" s="5" t="str">
        <f t="shared" si="0"/>
        <v>('Pocket Sunfish',1,3,125,0.1,0.5,5,8,'A tiny fish that can fit into a fisherman's pocket, it has ten vertical stripes visible along its dark body.'),</v>
      </c>
    </row>
    <row r="60" spans="1:16" ht="55.2" x14ac:dyDescent="0.3">
      <c r="A60" s="12" t="s">
        <v>197</v>
      </c>
      <c r="B60" s="12" t="s">
        <v>39</v>
      </c>
      <c r="C60" s="12" t="s">
        <v>169</v>
      </c>
      <c r="D60" s="12" t="s">
        <v>17</v>
      </c>
      <c r="E60" s="13">
        <v>300</v>
      </c>
      <c r="F60" s="13" t="s">
        <v>198</v>
      </c>
      <c r="G60" s="13" t="s">
        <v>28</v>
      </c>
      <c r="H60" s="13">
        <v>20</v>
      </c>
      <c r="I60" s="13">
        <v>44</v>
      </c>
      <c r="J60" s="14" t="s">
        <v>199</v>
      </c>
      <c r="K60" s="14" t="s">
        <v>167</v>
      </c>
      <c r="L60" s="14" t="s">
        <v>56</v>
      </c>
      <c r="M60" s="14" t="s">
        <v>625</v>
      </c>
      <c r="N60" s="3" cm="1">
        <f t="array" ref="N60">_xlfn.IFS(B60="Freshwater",1,B60="Brackish",2,B60="Seawater",3)</f>
        <v>1</v>
      </c>
      <c r="O60" s="3" cm="1">
        <f t="array" ref="O60">_xlfn.IFS(D60="Common",1,D60="Uncommon",2,D60="Rare",3,D60="Legendary",4,D60="Mythical",5,D60="Event",6)</f>
        <v>2</v>
      </c>
      <c r="P60" s="5" t="str">
        <f t="shared" si="0"/>
        <v>('Redear Sunfish',1,2,300,0.2,1.5,20,44,'Also widely known as the shellcracker, this fish's main diet is snails. These fish meander along lakebeds, seeking and cracking open snails and other shelled creatures.'),</v>
      </c>
    </row>
    <row r="61" spans="1:16" ht="27.6" x14ac:dyDescent="0.3">
      <c r="A61" s="12" t="s">
        <v>204</v>
      </c>
      <c r="B61" s="12" t="s">
        <v>39</v>
      </c>
      <c r="C61" s="12" t="s">
        <v>169</v>
      </c>
      <c r="D61" s="12" t="s">
        <v>17</v>
      </c>
      <c r="E61" s="13">
        <v>375</v>
      </c>
      <c r="F61" s="13" t="s">
        <v>205</v>
      </c>
      <c r="G61" s="13" t="s">
        <v>32</v>
      </c>
      <c r="H61" s="13">
        <v>10</v>
      </c>
      <c r="I61" s="13">
        <v>30</v>
      </c>
      <c r="J61" s="14" t="s">
        <v>206</v>
      </c>
      <c r="K61" s="14" t="s">
        <v>173</v>
      </c>
      <c r="L61" s="14" t="s">
        <v>62</v>
      </c>
      <c r="M61" s="14" t="s">
        <v>626</v>
      </c>
      <c r="N61" s="3" cm="1">
        <f t="array" ref="N61">_xlfn.IFS(B61="Freshwater",1,B61="Brackish",2,B61="Seawater",3)</f>
        <v>1</v>
      </c>
      <c r="O61" s="3" cm="1">
        <f t="array" ref="O61">_xlfn.IFS(D61="Common",1,D61="Uncommon",2,D61="Rare",3,D61="Legendary",4,D61="Mythical",5,D61="Event",6)</f>
        <v>2</v>
      </c>
      <c r="P61" s="5" t="str">
        <f t="shared" si="0"/>
        <v>('Warmouth',1,2,375,0.3,1.1,10,30,'The Warmouth is an aggressive and hardy fish that can survive in streams with low oxygen level.'),</v>
      </c>
    </row>
    <row r="62" spans="1:16" ht="41.4" x14ac:dyDescent="0.3">
      <c r="A62" s="15" t="s">
        <v>207</v>
      </c>
      <c r="B62" s="12" t="s">
        <v>39</v>
      </c>
      <c r="C62" s="12" t="s">
        <v>169</v>
      </c>
      <c r="D62" s="12" t="s">
        <v>17</v>
      </c>
      <c r="E62" s="13">
        <v>425</v>
      </c>
      <c r="F62" s="13" t="s">
        <v>198</v>
      </c>
      <c r="G62" s="13" t="s">
        <v>208</v>
      </c>
      <c r="H62" s="13">
        <v>10</v>
      </c>
      <c r="I62" s="13">
        <v>30</v>
      </c>
      <c r="J62" s="14" t="s">
        <v>210</v>
      </c>
      <c r="K62" s="14" t="s">
        <v>54</v>
      </c>
      <c r="L62" s="14" t="s">
        <v>209</v>
      </c>
      <c r="M62" s="14" t="s">
        <v>627</v>
      </c>
      <c r="N62" s="3" cm="1">
        <f t="array" ref="N62">_xlfn.IFS(B62="Freshwater",1,B62="Brackish",2,B62="Seawater",3)</f>
        <v>1</v>
      </c>
      <c r="O62" s="3" cm="1">
        <f t="array" ref="O62">_xlfn.IFS(D62="Common",1,D62="Uncommon",2,D62="Rare",3,D62="Legendary",4,D62="Mythical",5,D62="Event",6)</f>
        <v>2</v>
      </c>
      <c r="P62" s="5" t="str">
        <f t="shared" si="0"/>
        <v>('Redbreast Sunfish',1,2,425,0.2,0.8,10,30,'This fish becomes more aggressive when winter comes and striking almost anything that moving near them.'),</v>
      </c>
    </row>
    <row r="63" spans="1:16" ht="41.4" x14ac:dyDescent="0.3">
      <c r="A63" s="15" t="s">
        <v>892</v>
      </c>
      <c r="B63" s="12" t="s">
        <v>39</v>
      </c>
      <c r="C63" s="12" t="s">
        <v>169</v>
      </c>
      <c r="D63" s="12" t="s">
        <v>17</v>
      </c>
      <c r="E63" s="13">
        <v>450</v>
      </c>
      <c r="F63" s="13" t="s">
        <v>198</v>
      </c>
      <c r="G63" s="13" t="s">
        <v>208</v>
      </c>
      <c r="H63" s="13">
        <v>9</v>
      </c>
      <c r="I63" s="13">
        <v>24</v>
      </c>
      <c r="J63" s="14" t="s">
        <v>211</v>
      </c>
      <c r="K63" s="14" t="s">
        <v>167</v>
      </c>
      <c r="L63" s="14" t="s">
        <v>63</v>
      </c>
      <c r="M63" s="14" t="s">
        <v>628</v>
      </c>
      <c r="N63" s="3" cm="1">
        <f t="array" ref="N63">_xlfn.IFS(B63="Freshwater",1,B63="Brackish",2,B63="Seawater",3)</f>
        <v>1</v>
      </c>
      <c r="O63" s="3" cm="1">
        <f t="array" ref="O63">_xlfn.IFS(D63="Common",1,D63="Uncommon",2,D63="Rare",3,D63="Legendary",4,D63="Mythical",5,D63="Event",6)</f>
        <v>2</v>
      </c>
      <c r="P63" s="5" t="str">
        <f t="shared" si="0"/>
        <v>('Long-ear Sunfish',1,2,450,0.2,0.8,9,24,'Unlike any other sunfish, this fish feeds more near the surface of the water targeting insects, crustaceans and even young sunfish.'),</v>
      </c>
    </row>
    <row r="64" spans="1:16" ht="41.4" x14ac:dyDescent="0.3">
      <c r="A64" s="12" t="s">
        <v>212</v>
      </c>
      <c r="B64" s="12" t="s">
        <v>39</v>
      </c>
      <c r="C64" s="12" t="s">
        <v>169</v>
      </c>
      <c r="D64" s="12" t="s">
        <v>17</v>
      </c>
      <c r="E64" s="13">
        <v>375</v>
      </c>
      <c r="F64" s="13" t="s">
        <v>213</v>
      </c>
      <c r="G64" s="13" t="s">
        <v>214</v>
      </c>
      <c r="H64" s="13">
        <v>8</v>
      </c>
      <c r="I64" s="13">
        <v>15</v>
      </c>
      <c r="J64" s="14" t="s">
        <v>215</v>
      </c>
      <c r="K64" s="14" t="s">
        <v>177</v>
      </c>
      <c r="L64" s="14" t="s">
        <v>56</v>
      </c>
      <c r="M64" s="14" t="s">
        <v>629</v>
      </c>
      <c r="N64" s="3" cm="1">
        <f t="array" ref="N64">_xlfn.IFS(B64="Freshwater",1,B64="Brackish",2,B64="Seawater",3)</f>
        <v>1</v>
      </c>
      <c r="O64" s="3" cm="1">
        <f t="array" ref="O64">_xlfn.IFS(D64="Common",1,D64="Uncommon",2,D64="Rare",3,D64="Legendary",4,D64="Mythical",5,D64="Event",6)</f>
        <v>2</v>
      </c>
      <c r="P64" s="5" t="str">
        <f t="shared" si="0"/>
        <v>('Orangespotted Sunfish',1,2,375,0.1,0.6,8,15,'This fish prefers vegetated areas in sluggish backwaters or lakes, and can also be found in turbid rivers.'),</v>
      </c>
    </row>
    <row r="65" spans="1:16" ht="41.4" x14ac:dyDescent="0.3">
      <c r="A65" s="12" t="s">
        <v>216</v>
      </c>
      <c r="B65" s="12" t="s">
        <v>39</v>
      </c>
      <c r="C65" s="12" t="s">
        <v>169</v>
      </c>
      <c r="D65" s="12" t="s">
        <v>17</v>
      </c>
      <c r="E65" s="13">
        <v>230</v>
      </c>
      <c r="F65" s="13" t="s">
        <v>213</v>
      </c>
      <c r="G65" s="13" t="s">
        <v>27</v>
      </c>
      <c r="H65" s="13">
        <v>8</v>
      </c>
      <c r="I65" s="13">
        <v>15</v>
      </c>
      <c r="J65" s="14" t="s">
        <v>217</v>
      </c>
      <c r="K65" s="14" t="s">
        <v>64</v>
      </c>
      <c r="L65" s="14" t="s">
        <v>56</v>
      </c>
      <c r="M65" s="14" t="s">
        <v>630</v>
      </c>
      <c r="N65" s="3" cm="1">
        <f t="array" ref="N65">_xlfn.IFS(B65="Freshwater",1,B65="Brackish",2,B65="Seawater",3)</f>
        <v>1</v>
      </c>
      <c r="O65" s="3" cm="1">
        <f t="array" ref="O65">_xlfn.IFS(D65="Common",1,D65="Uncommon",2,D65="Rare",3,D65="Legendary",4,D65="Mythical",5,D65="Event",6)</f>
        <v>2</v>
      </c>
      <c r="P65" s="5" t="str">
        <f t="shared" si="0"/>
        <v>('Roundel Sunfish',1,2,230,0.1,0.5,8,15,'Its deep, rounded body is said to resemble the ancient roundel coins once traded across the continent before the dragons era.'),</v>
      </c>
    </row>
    <row r="66" spans="1:16" ht="27.6" x14ac:dyDescent="0.3">
      <c r="A66" s="12" t="s">
        <v>26</v>
      </c>
      <c r="B66" s="12" t="s">
        <v>39</v>
      </c>
      <c r="C66" s="12" t="s">
        <v>23</v>
      </c>
      <c r="D66" s="12" t="s">
        <v>15</v>
      </c>
      <c r="E66" s="13">
        <v>900</v>
      </c>
      <c r="F66" s="13">
        <v>3</v>
      </c>
      <c r="G66" s="13">
        <v>14</v>
      </c>
      <c r="H66" s="13">
        <v>20</v>
      </c>
      <c r="I66" s="13">
        <v>76</v>
      </c>
      <c r="J66" s="14" t="s">
        <v>29</v>
      </c>
      <c r="K66" s="14" t="s">
        <v>64</v>
      </c>
      <c r="L66" s="14" t="s">
        <v>355</v>
      </c>
      <c r="M66" s="14" t="s">
        <v>610</v>
      </c>
      <c r="N66" s="3" cm="1">
        <f t="array" ref="N66">_xlfn.IFS(B66="Freshwater",1,B66="Brackish",2,B66="Seawater",3)</f>
        <v>1</v>
      </c>
      <c r="O66" s="3" cm="1">
        <f t="array" ref="O66">_xlfn.IFS(D66="Common",1,D66="Uncommon",2,D66="Rare",3,D66="Legendary",4,D66="Mythical",5,D66="Event",6)</f>
        <v>1</v>
      </c>
      <c r="P66" s="5" t="str">
        <f t="shared" si="0"/>
        <v>('Rainbow Trout',1,1,900,3,14,20,76,'Fish with a silvery body, and purple, pink and bluish streak down its flank'),</v>
      </c>
    </row>
    <row r="67" spans="1:16" ht="27.6" x14ac:dyDescent="0.3">
      <c r="A67" s="12" t="s">
        <v>325</v>
      </c>
      <c r="B67" s="12" t="s">
        <v>39</v>
      </c>
      <c r="C67" s="12" t="s">
        <v>23</v>
      </c>
      <c r="D67" s="12" t="s">
        <v>15</v>
      </c>
      <c r="E67" s="13">
        <v>750</v>
      </c>
      <c r="F67" s="13">
        <v>1</v>
      </c>
      <c r="G67" s="13">
        <v>2</v>
      </c>
      <c r="H67" s="13">
        <v>17</v>
      </c>
      <c r="I67" s="13">
        <v>55</v>
      </c>
      <c r="J67" s="14" t="s">
        <v>328</v>
      </c>
      <c r="K67" s="14" t="s">
        <v>128</v>
      </c>
      <c r="L67" s="14" t="s">
        <v>63</v>
      </c>
      <c r="M67" s="14" t="s">
        <v>609</v>
      </c>
      <c r="N67" s="3" cm="1">
        <f t="array" ref="N67">_xlfn.IFS(B67="Freshwater",1,B67="Brackish",2,B67="Seawater",3)</f>
        <v>1</v>
      </c>
      <c r="O67" s="3" cm="1">
        <f t="array" ref="O67">_xlfn.IFS(D67="Common",1,D67="Uncommon",2,D67="Rare",3,D67="Legendary",4,D67="Mythical",5,D67="Event",6)</f>
        <v>1</v>
      </c>
      <c r="P67" s="5" t="str">
        <f t="shared" ref="P67:P102" si="1">_xlfn.CONCAT("('",A67,"',",N67,",",O67,",",E67,",",F67,",",G67,",",H67,",",I67,",","'",J67,"'),")</f>
        <v>('Hvitar Trout',1,1,750,1,2,17,55,'Hvitar Trout have a yellow body, and their upper body covered with a numerous small dark spot'),</v>
      </c>
    </row>
    <row r="68" spans="1:16" ht="27.6" x14ac:dyDescent="0.3">
      <c r="A68" s="12" t="s">
        <v>166</v>
      </c>
      <c r="B68" s="12" t="s">
        <v>39</v>
      </c>
      <c r="C68" s="12" t="s">
        <v>23</v>
      </c>
      <c r="D68" s="12" t="s">
        <v>15</v>
      </c>
      <c r="E68" s="13">
        <v>975</v>
      </c>
      <c r="F68" s="13">
        <v>10</v>
      </c>
      <c r="G68" s="13">
        <v>46</v>
      </c>
      <c r="H68" s="13">
        <v>25</v>
      </c>
      <c r="I68" s="13">
        <v>130</v>
      </c>
      <c r="J68" s="14" t="s">
        <v>168</v>
      </c>
      <c r="K68" s="14" t="s">
        <v>64</v>
      </c>
      <c r="L68" s="14" t="s">
        <v>608</v>
      </c>
      <c r="M68" s="14" t="s">
        <v>611</v>
      </c>
      <c r="N68" s="3" cm="1">
        <f t="array" ref="N68">_xlfn.IFS(B68="Freshwater",1,B68="Brackish",2,B68="Seawater",3)</f>
        <v>1</v>
      </c>
      <c r="O68" s="3" cm="1">
        <f t="array" ref="O68">_xlfn.IFS(D68="Common",1,D68="Uncommon",2,D68="Rare",3,D68="Legendary",4,D68="Mythical",5,D68="Event",6)</f>
        <v>1</v>
      </c>
      <c r="P68" s="5" t="str">
        <f t="shared" si="1"/>
        <v>('Lake Trout',1,1,975,10,46,25,130,'Lake trout covered in light beige or white spots all over its olive-grey body.'),</v>
      </c>
    </row>
    <row r="69" spans="1:16" ht="41.4" x14ac:dyDescent="0.3">
      <c r="A69" s="12" t="s">
        <v>30</v>
      </c>
      <c r="B69" s="12" t="s">
        <v>39</v>
      </c>
      <c r="C69" s="12" t="s">
        <v>23</v>
      </c>
      <c r="D69" s="12" t="s">
        <v>20</v>
      </c>
      <c r="E69" s="13">
        <v>85</v>
      </c>
      <c r="F69" s="13" t="s">
        <v>28</v>
      </c>
      <c r="G69" s="13">
        <v>3</v>
      </c>
      <c r="H69" s="13">
        <v>10</v>
      </c>
      <c r="I69" s="13">
        <v>30</v>
      </c>
      <c r="J69" s="14" t="s">
        <v>31</v>
      </c>
      <c r="K69" s="14" t="s">
        <v>55</v>
      </c>
      <c r="L69" s="14" t="s">
        <v>63</v>
      </c>
      <c r="M69" s="14" t="s">
        <v>590</v>
      </c>
      <c r="N69" s="3" cm="1">
        <f t="array" ref="N69">_xlfn.IFS(B69="Freshwater",1,B69="Brackish",2,B69="Seawater",3)</f>
        <v>1</v>
      </c>
      <c r="O69" s="3" cm="1">
        <f t="array" ref="O69">_xlfn.IFS(D69="Common",1,D69="Uncommon",2,D69="Rare",3,D69="Legendary",4,D69="Mythical",5,D69="Event",6)</f>
        <v>3</v>
      </c>
      <c r="P69" s="5" t="str">
        <f t="shared" si="1"/>
        <v>('Aurora Trout',1,3,85,1.5,3,10,30,'Aurora trout can be differentiated by its coloration, grading from magenta hue to nearly orange along the belly.'),</v>
      </c>
    </row>
    <row r="70" spans="1:16" ht="41.4" x14ac:dyDescent="0.3">
      <c r="A70" s="12" t="s">
        <v>322</v>
      </c>
      <c r="B70" s="12" t="s">
        <v>39</v>
      </c>
      <c r="C70" s="12" t="s">
        <v>23</v>
      </c>
      <c r="D70" s="12" t="s">
        <v>20</v>
      </c>
      <c r="E70" s="13">
        <v>75</v>
      </c>
      <c r="F70" s="13" t="s">
        <v>27</v>
      </c>
      <c r="G70" s="13" t="s">
        <v>32</v>
      </c>
      <c r="H70" s="13">
        <v>15</v>
      </c>
      <c r="I70" s="13">
        <v>46</v>
      </c>
      <c r="J70" s="14" t="s">
        <v>323</v>
      </c>
      <c r="K70" s="14" t="s">
        <v>55</v>
      </c>
      <c r="L70" s="14" t="s">
        <v>60</v>
      </c>
      <c r="M70" s="14" t="s">
        <v>41</v>
      </c>
      <c r="N70" s="3" cm="1">
        <f t="array" ref="N70">_xlfn.IFS(B70="Freshwater",1,B70="Brackish",2,B70="Seawater",3)</f>
        <v>1</v>
      </c>
      <c r="O70" s="3" cm="1">
        <f t="array" ref="O70">_xlfn.IFS(D70="Common",1,D70="Uncommon",2,D70="Rare",3,D70="Legendary",4,D70="Mythical",5,D70="Event",6)</f>
        <v>3</v>
      </c>
      <c r="P70" s="5" t="str">
        <f t="shared" si="1"/>
        <v>('Prasinos Cutthroat Trout',1,3,75,0.5,1.1,15,46,'This trout only live on the creek. Prasinos have a purple coloration and have some black spot along their body'),</v>
      </c>
    </row>
    <row r="71" spans="1:16" ht="27.6" x14ac:dyDescent="0.3">
      <c r="A71" s="12" t="s">
        <v>161</v>
      </c>
      <c r="B71" s="12" t="s">
        <v>39</v>
      </c>
      <c r="C71" s="12" t="s">
        <v>23</v>
      </c>
      <c r="D71" s="12" t="s">
        <v>20</v>
      </c>
      <c r="E71" s="13">
        <v>100</v>
      </c>
      <c r="F71" s="13">
        <v>1</v>
      </c>
      <c r="G71" s="13">
        <v>5</v>
      </c>
      <c r="H71" s="13">
        <v>15</v>
      </c>
      <c r="I71" s="13">
        <v>30</v>
      </c>
      <c r="J71" s="14" t="s">
        <v>164</v>
      </c>
      <c r="K71" s="14" t="s">
        <v>117</v>
      </c>
      <c r="L71" s="14" t="s">
        <v>61</v>
      </c>
      <c r="M71" s="14" t="s">
        <v>591</v>
      </c>
      <c r="N71" s="3" cm="1">
        <f t="array" ref="N71">_xlfn.IFS(B71="Freshwater",1,B71="Brackish",2,B71="Seawater",3)</f>
        <v>1</v>
      </c>
      <c r="O71" s="3" cm="1">
        <f t="array" ref="O71">_xlfn.IFS(D71="Common",1,D71="Uncommon",2,D71="Rare",3,D71="Legendary",4,D71="Mythical",5,D71="Event",6)</f>
        <v>3</v>
      </c>
      <c r="P71" s="5" t="str">
        <f t="shared" si="1"/>
        <v>('Golden Trout',1,3,100,1,5,15,30,'Every first Golden Trout that is caught that day needs to be given to the royal family.'),</v>
      </c>
    </row>
    <row r="72" spans="1:16" ht="27.6" x14ac:dyDescent="0.3">
      <c r="A72" s="12" t="s">
        <v>22</v>
      </c>
      <c r="B72" s="12" t="s">
        <v>39</v>
      </c>
      <c r="C72" s="12" t="s">
        <v>23</v>
      </c>
      <c r="D72" s="12" t="s">
        <v>17</v>
      </c>
      <c r="E72" s="13">
        <v>250</v>
      </c>
      <c r="F72" s="13">
        <v>2</v>
      </c>
      <c r="G72" s="13" t="s">
        <v>24</v>
      </c>
      <c r="H72" s="13">
        <v>20</v>
      </c>
      <c r="I72" s="13">
        <v>61</v>
      </c>
      <c r="J72" s="14" t="s">
        <v>25</v>
      </c>
      <c r="K72" s="14" t="s">
        <v>54</v>
      </c>
      <c r="L72" s="14" t="s">
        <v>56</v>
      </c>
      <c r="M72" s="14" t="s">
        <v>631</v>
      </c>
      <c r="N72" s="3" cm="1">
        <f t="array" ref="N72">_xlfn.IFS(B72="Freshwater",1,B72="Brackish",2,B72="Seawater",3)</f>
        <v>1</v>
      </c>
      <c r="O72" s="3" cm="1">
        <f t="array" ref="O72">_xlfn.IFS(D72="Common",1,D72="Uncommon",2,D72="Rare",3,D72="Legendary",4,D72="Mythical",5,D72="Event",6)</f>
        <v>2</v>
      </c>
      <c r="P72" s="5" t="str">
        <f t="shared" si="1"/>
        <v>('Brook Trout',1,2,250,2,6.5,20,61,'Brook trout also called Speckled trout has a green olive body with a yellow spot all over its body.'),</v>
      </c>
    </row>
    <row r="73" spans="1:16" ht="41.4" x14ac:dyDescent="0.3">
      <c r="A73" s="12" t="s">
        <v>1040</v>
      </c>
      <c r="B73" s="12" t="s">
        <v>39</v>
      </c>
      <c r="C73" s="12" t="s">
        <v>23</v>
      </c>
      <c r="D73" s="12" t="s">
        <v>17</v>
      </c>
      <c r="E73" s="13">
        <v>305</v>
      </c>
      <c r="F73" s="13">
        <v>1</v>
      </c>
      <c r="G73" s="13">
        <v>2</v>
      </c>
      <c r="H73" s="13">
        <v>20</v>
      </c>
      <c r="I73" s="13">
        <v>45</v>
      </c>
      <c r="J73" s="14" t="s">
        <v>160</v>
      </c>
      <c r="K73" s="14" t="s">
        <v>104</v>
      </c>
      <c r="L73" s="14" t="s">
        <v>244</v>
      </c>
      <c r="M73" s="14" t="s">
        <v>45</v>
      </c>
      <c r="N73" s="3" cm="1">
        <f t="array" ref="N73">_xlfn.IFS(B73="Freshwater",1,B73="Brackish",2,B73="Seawater",3)</f>
        <v>1</v>
      </c>
      <c r="O73" s="3" cm="1">
        <f t="array" ref="O73">_xlfn.IFS(D73="Common",1,D73="Uncommon",2,D73="Rare",3,D73="Legendary",4,D73="Mythical",5,D73="Event",6)</f>
        <v>2</v>
      </c>
      <c r="P73" s="5" t="str">
        <f t="shared" si="1"/>
        <v>('Clearwater Cutthroat Trout',1,2,305,1,2,20,45,'Its neck has a bright red coloration, which makes it look like a slash wound; that's why it was called a Cutthroat Trout.'),</v>
      </c>
    </row>
    <row r="74" spans="1:16" ht="41.4" x14ac:dyDescent="0.3">
      <c r="A74" s="12" t="s">
        <v>326</v>
      </c>
      <c r="B74" s="12" t="s">
        <v>39</v>
      </c>
      <c r="C74" s="12" t="s">
        <v>23</v>
      </c>
      <c r="D74" s="12" t="s">
        <v>17</v>
      </c>
      <c r="E74" s="13">
        <v>201</v>
      </c>
      <c r="F74" s="13">
        <v>1</v>
      </c>
      <c r="G74" s="13">
        <v>3</v>
      </c>
      <c r="H74" s="13">
        <v>15</v>
      </c>
      <c r="I74" s="13">
        <v>61</v>
      </c>
      <c r="J74" s="14" t="s">
        <v>327</v>
      </c>
      <c r="K74" s="14" t="s">
        <v>104</v>
      </c>
      <c r="L74" s="14" t="s">
        <v>244</v>
      </c>
      <c r="M74" s="14" t="s">
        <v>632</v>
      </c>
      <c r="N74" s="3" cm="1">
        <f t="array" ref="N74">_xlfn.IFS(B74="Freshwater",1,B74="Brackish",2,B74="Seawater",3)</f>
        <v>1</v>
      </c>
      <c r="O74" s="3" cm="1">
        <f t="array" ref="O74">_xlfn.IFS(D74="Common",1,D74="Uncommon",2,D74="Rare",3,D74="Legendary",4,D74="Mythical",5,D74="Event",6)</f>
        <v>2</v>
      </c>
      <c r="P74" s="5" t="str">
        <f t="shared" si="1"/>
        <v>('Yakad Trout',1,2,201,1,3,15,61,'Yakad Trout can be identified by its distinctive yellowish-gold color, with a golden belly. The top of its head and back are a dark olive color.'),</v>
      </c>
    </row>
    <row r="75" spans="1:16" ht="27.6" x14ac:dyDescent="0.3">
      <c r="A75" s="12" t="s">
        <v>162</v>
      </c>
      <c r="B75" s="12" t="s">
        <v>39</v>
      </c>
      <c r="C75" s="12" t="s">
        <v>23</v>
      </c>
      <c r="D75" s="12" t="s">
        <v>17</v>
      </c>
      <c r="E75" s="13">
        <v>375</v>
      </c>
      <c r="F75" s="13">
        <v>5</v>
      </c>
      <c r="G75" s="13">
        <v>30</v>
      </c>
      <c r="H75" s="13">
        <v>30</v>
      </c>
      <c r="I75" s="13">
        <v>120</v>
      </c>
      <c r="J75" s="14" t="s">
        <v>165</v>
      </c>
      <c r="K75" s="14" t="s">
        <v>163</v>
      </c>
      <c r="L75" s="14" t="s">
        <v>159</v>
      </c>
      <c r="M75" s="14" t="s">
        <v>633</v>
      </c>
      <c r="N75" s="3" cm="1">
        <f t="array" ref="N75">_xlfn.IFS(B75="Freshwater",1,B75="Brackish",2,B75="Seawater",3)</f>
        <v>1</v>
      </c>
      <c r="O75" s="3" cm="1">
        <f t="array" ref="O75">_xlfn.IFS(D75="Common",1,D75="Uncommon",2,D75="Rare",3,D75="Legendary",4,D75="Mythical",5,D75="Event",6)</f>
        <v>2</v>
      </c>
      <c r="P75" s="5" t="str">
        <f t="shared" si="1"/>
        <v>('Marbled Trout',1,2,375,5,30,30,120,'The marble trout has a long, cylindrical body, slightly compressed laterally, with a large head. '),</v>
      </c>
    </row>
    <row r="76" spans="1:16" ht="41.4" x14ac:dyDescent="0.3">
      <c r="A76" s="12" t="s">
        <v>288</v>
      </c>
      <c r="B76" s="12" t="s">
        <v>97</v>
      </c>
      <c r="C76" s="16" t="s">
        <v>287</v>
      </c>
      <c r="D76" s="12" t="s">
        <v>15</v>
      </c>
      <c r="E76" s="13">
        <v>950</v>
      </c>
      <c r="F76" s="13" t="s">
        <v>205</v>
      </c>
      <c r="G76" s="13" t="s">
        <v>208</v>
      </c>
      <c r="H76" s="13">
        <v>1</v>
      </c>
      <c r="I76" s="13">
        <v>12</v>
      </c>
      <c r="J76" s="14" t="s">
        <v>290</v>
      </c>
      <c r="K76" s="14" t="s">
        <v>64</v>
      </c>
      <c r="L76" s="14" t="s">
        <v>289</v>
      </c>
      <c r="M76" s="14" t="s">
        <v>573</v>
      </c>
      <c r="N76" s="3" cm="1">
        <f t="array" ref="N76">_xlfn.IFS(B76="Freshwater",1,B76="Brackish",2,B76="Seawater",3)</f>
        <v>3</v>
      </c>
      <c r="O76" s="3" cm="1">
        <f t="array" ref="O76">_xlfn.IFS(D76="Common",1,D76="Uncommon",2,D76="Rare",3,D76="Legendary",4,D76="Mythical",5,D76="Event",6)</f>
        <v>1</v>
      </c>
      <c r="P76" s="5" t="str">
        <f t="shared" si="1"/>
        <v>('Common Clownfish',3,1,950,0.3,0.8,1,12,'The Common Clownfish has a stocky appearance and oval shape. It is compressed laterally, with a round profile.'),</v>
      </c>
    </row>
    <row r="77" spans="1:16" ht="41.4" x14ac:dyDescent="0.3">
      <c r="A77" s="12" t="s">
        <v>303</v>
      </c>
      <c r="B77" s="12" t="s">
        <v>97</v>
      </c>
      <c r="C77" s="12" t="s">
        <v>304</v>
      </c>
      <c r="D77" s="12" t="s">
        <v>17</v>
      </c>
      <c r="E77" s="13">
        <v>250</v>
      </c>
      <c r="F77" s="13">
        <v>10</v>
      </c>
      <c r="G77" s="13">
        <v>47</v>
      </c>
      <c r="H77" s="13">
        <v>50</v>
      </c>
      <c r="I77" s="13">
        <v>300</v>
      </c>
      <c r="J77" s="14" t="s">
        <v>305</v>
      </c>
      <c r="K77" s="14" t="s">
        <v>183</v>
      </c>
      <c r="L77" s="14" t="s">
        <v>159</v>
      </c>
      <c r="M77" s="14" t="s">
        <v>574</v>
      </c>
      <c r="N77" s="3" cm="1">
        <f t="array" ref="N77">_xlfn.IFS(B77="Freshwater",1,B77="Brackish",2,B77="Seawater",3)</f>
        <v>3</v>
      </c>
      <c r="O77" s="3" cm="1">
        <f t="array" ref="O77">_xlfn.IFS(D77="Common",1,D77="Uncommon",2,D77="Rare",3,D77="Legendary",4,D77="Mythical",5,D77="Event",6)</f>
        <v>2</v>
      </c>
      <c r="P77" s="5" t="str">
        <f t="shared" si="1"/>
        <v>('Great Barracuda',3,2,250,10,47,50,300,'They are voracious predators and hunt by ambush. They rely on surprise and short bursts of speed to overrun their prey, sacrificing maneuverability.'),</v>
      </c>
    </row>
    <row r="78" spans="1:16" ht="41.4" x14ac:dyDescent="0.3">
      <c r="A78" s="12" t="s">
        <v>353</v>
      </c>
      <c r="B78" s="12" t="s">
        <v>97</v>
      </c>
      <c r="C78" s="12" t="s">
        <v>354</v>
      </c>
      <c r="D78" s="12" t="s">
        <v>15</v>
      </c>
      <c r="E78" s="13">
        <v>900</v>
      </c>
      <c r="F78" s="13">
        <v>5</v>
      </c>
      <c r="G78" s="13">
        <v>60</v>
      </c>
      <c r="H78" s="13">
        <v>40</v>
      </c>
      <c r="I78" s="13">
        <v>120</v>
      </c>
      <c r="J78" s="14" t="s">
        <v>356</v>
      </c>
      <c r="K78" s="14" t="s">
        <v>64</v>
      </c>
      <c r="L78" s="14" t="s">
        <v>355</v>
      </c>
      <c r="M78" s="14" t="s">
        <v>573</v>
      </c>
      <c r="N78" s="3" cm="1">
        <f t="array" ref="N78">_xlfn.IFS(B78="Freshwater",1,B78="Brackish",2,B78="Seawater",3)</f>
        <v>3</v>
      </c>
      <c r="O78" s="3" cm="1">
        <f t="array" ref="O78">_xlfn.IFS(D78="Common",1,D78="Uncommon",2,D78="Rare",3,D78="Legendary",4,D78="Mythical",5,D78="Event",6)</f>
        <v>1</v>
      </c>
      <c r="P78" s="5" t="str">
        <f t="shared" si="1"/>
        <v>('Striped Bass',3,1,900,5,60,40,120,'The Striped Bass has a streamlined, silvery body marked with longitudinal dark stripes running from behind the gills to the base of the tail.'),</v>
      </c>
    </row>
    <row r="79" spans="1:16" ht="41.4" x14ac:dyDescent="0.3">
      <c r="A79" s="12" t="s">
        <v>306</v>
      </c>
      <c r="B79" s="12" t="s">
        <v>97</v>
      </c>
      <c r="C79" s="12" t="s">
        <v>307</v>
      </c>
      <c r="D79" s="12" t="s">
        <v>20</v>
      </c>
      <c r="E79" s="13">
        <v>150</v>
      </c>
      <c r="F79" s="13">
        <v>100</v>
      </c>
      <c r="G79" s="13">
        <v>700</v>
      </c>
      <c r="H79" s="13">
        <v>100</v>
      </c>
      <c r="I79" s="13">
        <v>455</v>
      </c>
      <c r="J79" s="14" t="s">
        <v>308</v>
      </c>
      <c r="K79" s="14" t="s">
        <v>64</v>
      </c>
      <c r="L79" s="14" t="s">
        <v>289</v>
      </c>
      <c r="M79" s="14" t="s">
        <v>573</v>
      </c>
      <c r="N79" s="3" cm="1">
        <f t="array" ref="N79">_xlfn.IFS(B79="Freshwater",1,B79="Brackish",2,B79="Seawater",3)</f>
        <v>3</v>
      </c>
      <c r="O79" s="3" cm="1">
        <f t="array" ref="O79">_xlfn.IFS(D79="Common",1,D79="Uncommon",2,D79="Rare",3,D79="Legendary",4,D79="Mythical",5,D79="Event",6)</f>
        <v>3</v>
      </c>
      <c r="P79" s="5" t="str">
        <f t="shared" si="1"/>
        <v>('Swordfish',3,3,150,100,700,100,455,'Swordfish can swim extremely fast; it is said that Swordfish will jumped out of the water and then attack the fishermen when threatened.'),</v>
      </c>
    </row>
    <row r="80" spans="1:16" ht="41.4" x14ac:dyDescent="0.3">
      <c r="A80" s="12" t="s">
        <v>367</v>
      </c>
      <c r="B80" s="12" t="s">
        <v>97</v>
      </c>
      <c r="C80" s="12" t="s">
        <v>307</v>
      </c>
      <c r="D80" s="12" t="s">
        <v>20</v>
      </c>
      <c r="E80" s="13">
        <v>60</v>
      </c>
      <c r="F80" s="13">
        <v>70</v>
      </c>
      <c r="G80" s="13">
        <v>350</v>
      </c>
      <c r="H80" s="13">
        <v>40</v>
      </c>
      <c r="I80" s="13">
        <v>100</v>
      </c>
      <c r="J80" s="14" t="s">
        <v>368</v>
      </c>
      <c r="K80" s="14" t="s">
        <v>128</v>
      </c>
      <c r="L80" s="14" t="s">
        <v>159</v>
      </c>
      <c r="M80" s="14" t="s">
        <v>576</v>
      </c>
      <c r="N80" s="3" cm="1">
        <f t="array" ref="N80">_xlfn.IFS(B80="Freshwater",1,B80="Brackish",2,B80="Seawater",3)</f>
        <v>3</v>
      </c>
      <c r="O80" s="3" cm="1">
        <f t="array" ref="O80">_xlfn.IFS(D80="Common",1,D80="Uncommon",2,D80="Rare",3,D80="Legendary",4,D80="Mythical",5,D80="Event",6)</f>
        <v>3</v>
      </c>
      <c r="P80" s="5" t="str">
        <f t="shared" si="1"/>
        <v>('Sailfish',3,3,60,70,350,40,100,'Old sailors claim that they see Sailfish change colors when they get catch. Some people even said that was Sailfish way to communicate between them.'),</v>
      </c>
    </row>
    <row r="81" spans="1:16" ht="41.4" x14ac:dyDescent="0.3">
      <c r="A81" s="12" t="s">
        <v>369</v>
      </c>
      <c r="B81" s="12" t="s">
        <v>97</v>
      </c>
      <c r="C81" s="12" t="s">
        <v>307</v>
      </c>
      <c r="D81" s="12" t="s">
        <v>20</v>
      </c>
      <c r="E81" s="13">
        <v>51</v>
      </c>
      <c r="F81" s="13">
        <v>100</v>
      </c>
      <c r="G81" s="13">
        <v>720</v>
      </c>
      <c r="H81" s="13">
        <v>150</v>
      </c>
      <c r="I81" s="13">
        <v>450</v>
      </c>
      <c r="J81" s="14" t="s">
        <v>370</v>
      </c>
      <c r="K81" s="14" t="s">
        <v>104</v>
      </c>
      <c r="L81" s="14" t="s">
        <v>244</v>
      </c>
      <c r="M81" s="14" t="s">
        <v>96</v>
      </c>
      <c r="N81" s="3" cm="1">
        <f t="array" ref="N81">_xlfn.IFS(B81="Freshwater",1,B81="Brackish",2,B81="Seawater",3)</f>
        <v>3</v>
      </c>
      <c r="O81" s="3" cm="1">
        <f t="array" ref="O81">_xlfn.IFS(D81="Common",1,D81="Uncommon",2,D81="Rare",3,D81="Legendary",4,D81="Mythical",5,D81="Event",6)</f>
        <v>3</v>
      </c>
      <c r="P81" s="5" t="str">
        <f t="shared" si="1"/>
        <v>('Black Marlin',3,3,51,100,720,150,450,'One of the fastest fish known to sailors, this fish is said to be fast enough to leave a hole in a ship by swimming through it.'),</v>
      </c>
    </row>
    <row r="82" spans="1:16" ht="41.4" x14ac:dyDescent="0.3">
      <c r="A82" s="12" t="s">
        <v>191</v>
      </c>
      <c r="B82" s="12" t="s">
        <v>97</v>
      </c>
      <c r="C82" s="12" t="s">
        <v>34</v>
      </c>
      <c r="D82" s="12" t="s">
        <v>20</v>
      </c>
      <c r="E82" s="13">
        <v>150</v>
      </c>
      <c r="F82" s="13" t="s">
        <v>192</v>
      </c>
      <c r="G82" s="13">
        <v>3</v>
      </c>
      <c r="H82" s="13">
        <v>25</v>
      </c>
      <c r="I82" s="13">
        <v>55</v>
      </c>
      <c r="J82" s="14" t="s">
        <v>193</v>
      </c>
      <c r="K82" s="14" t="s">
        <v>104</v>
      </c>
      <c r="L82" s="14" t="s">
        <v>244</v>
      </c>
      <c r="M82" s="14" t="s">
        <v>96</v>
      </c>
      <c r="N82" s="3" cm="1">
        <f t="array" ref="N82">_xlfn.IFS(B82="Freshwater",1,B82="Brackish",2,B82="Seawater",3)</f>
        <v>3</v>
      </c>
      <c r="O82" s="3" cm="1">
        <f t="array" ref="O82">_xlfn.IFS(D82="Common",1,D82="Uncommon",2,D82="Rare",3,D82="Legendary",4,D82="Mythical",5,D82="Event",6)</f>
        <v>3</v>
      </c>
      <c r="P82" s="5" t="str">
        <f t="shared" si="1"/>
        <v>('Zebra Seabream',3,3,150,1.25,3,25,55,'This fish has an oval shaped body which is deep and compressed with a moderately sharp snout and a thick lipped slightly protrusible mouth.'),</v>
      </c>
    </row>
    <row r="83" spans="1:16" ht="41.4" x14ac:dyDescent="0.3">
      <c r="A83" s="12" t="s">
        <v>181</v>
      </c>
      <c r="B83" s="12" t="s">
        <v>97</v>
      </c>
      <c r="C83" s="12" t="s">
        <v>34</v>
      </c>
      <c r="D83" s="12" t="s">
        <v>17</v>
      </c>
      <c r="E83" s="13">
        <v>425</v>
      </c>
      <c r="F83" s="13">
        <v>1</v>
      </c>
      <c r="G83" s="13">
        <v>3</v>
      </c>
      <c r="H83" s="13">
        <v>10</v>
      </c>
      <c r="I83" s="13">
        <v>60</v>
      </c>
      <c r="J83" s="14" t="s">
        <v>184</v>
      </c>
      <c r="K83" s="14" t="s">
        <v>183</v>
      </c>
      <c r="L83" s="14" t="s">
        <v>56</v>
      </c>
      <c r="M83" s="14" t="s">
        <v>575</v>
      </c>
      <c r="N83" s="3" cm="1">
        <f t="array" ref="N83">_xlfn.IFS(B83="Freshwater",1,B83="Brackish",2,B83="Seawater",3)</f>
        <v>3</v>
      </c>
      <c r="O83" s="3" cm="1">
        <f t="array" ref="O83">_xlfn.IFS(D83="Common",1,D83="Uncommon",2,D83="Rare",3,D83="Legendary",4,D83="Mythical",5,D83="Event",6)</f>
        <v>2</v>
      </c>
      <c r="P83" s="5" t="str">
        <f t="shared" si="1"/>
        <v>('Two-bar Bream',3,2,425,1,3,10,60,'Two-bar Bream has an oval-shaped, deep, compressed body with a moderately fleshy-lipped, slightly protrusible mouth.'),</v>
      </c>
    </row>
    <row r="84" spans="1:16" ht="55.2" x14ac:dyDescent="0.3">
      <c r="A84" s="12" t="s">
        <v>188</v>
      </c>
      <c r="B84" s="12" t="s">
        <v>97</v>
      </c>
      <c r="C84" s="12" t="s">
        <v>34</v>
      </c>
      <c r="D84" s="12" t="s">
        <v>15</v>
      </c>
      <c r="E84" s="13">
        <v>850</v>
      </c>
      <c r="F84" s="13" t="s">
        <v>176</v>
      </c>
      <c r="G84" s="13">
        <v>10</v>
      </c>
      <c r="H84" s="13">
        <v>20</v>
      </c>
      <c r="I84" s="13">
        <v>120</v>
      </c>
      <c r="J84" s="14" t="s">
        <v>189</v>
      </c>
      <c r="K84" s="14" t="s">
        <v>183</v>
      </c>
      <c r="L84" s="14" t="s">
        <v>63</v>
      </c>
      <c r="M84" s="14" t="s">
        <v>578</v>
      </c>
      <c r="N84" s="3" cm="1">
        <f t="array" ref="N84">_xlfn.IFS(B84="Freshwater",1,B84="Brackish",2,B84="Seawater",3)</f>
        <v>3</v>
      </c>
      <c r="O84" s="3" cm="1">
        <f t="array" ref="O84">_xlfn.IFS(D84="Common",1,D84="Uncommon",2,D84="Rare",3,D84="Legendary",4,D84="Mythical",5,D84="Event",6)</f>
        <v>1</v>
      </c>
      <c r="P84" s="5" t="str">
        <f t="shared" si="1"/>
        <v>('Red Seabream',3,1,850,0.75,10,20,120,'The body is oblong and laterally flattened, with the jaws protruding slightly forward. The pectoral fins are long and slender, reaching nearly half of the total length.'),</v>
      </c>
    </row>
    <row r="85" spans="1:16" ht="55.2" x14ac:dyDescent="0.3">
      <c r="A85" s="12" t="s">
        <v>1099</v>
      </c>
      <c r="B85" s="12" t="s">
        <v>97</v>
      </c>
      <c r="C85" s="12" t="s">
        <v>34</v>
      </c>
      <c r="D85" s="12" t="s">
        <v>17</v>
      </c>
      <c r="E85" s="13">
        <v>201</v>
      </c>
      <c r="F85" s="13" t="s">
        <v>27</v>
      </c>
      <c r="G85" s="13">
        <v>18</v>
      </c>
      <c r="H85" s="13">
        <v>15</v>
      </c>
      <c r="I85" s="13">
        <v>70</v>
      </c>
      <c r="J85" s="14" t="s">
        <v>190</v>
      </c>
      <c r="K85" s="14" t="s">
        <v>183</v>
      </c>
      <c r="L85" s="14" t="s">
        <v>59</v>
      </c>
      <c r="M85" s="14" t="s">
        <v>574</v>
      </c>
      <c r="N85" s="3" cm="1">
        <f t="array" ref="N85">_xlfn.IFS(B85="Freshwater",1,B85="Brackish",2,B85="Seawater",3)</f>
        <v>3</v>
      </c>
      <c r="O85" s="3" cm="1">
        <f t="array" ref="O85">_xlfn.IFS(D85="Common",1,D85="Uncommon",2,D85="Rare",3,D85="Legendary",4,D85="Mythical",5,D85="Event",6)</f>
        <v>2</v>
      </c>
      <c r="P85" s="5" t="str">
        <f t="shared" si="1"/>
        <v>('Gilthead Seabream',3,2,201,0.5,18,15,70,'The gilt-head bream has a deep body, with a large, deep head which has its relatively small eyes placed high on the head. The diameter of the eyes is shorter than the length of the snout.'),</v>
      </c>
    </row>
    <row r="86" spans="1:16" ht="41.4" x14ac:dyDescent="0.3">
      <c r="A86" s="12" t="s">
        <v>259</v>
      </c>
      <c r="B86" s="12" t="s">
        <v>97</v>
      </c>
      <c r="C86" s="12" t="s">
        <v>221</v>
      </c>
      <c r="D86" s="12" t="s">
        <v>17</v>
      </c>
      <c r="E86" s="13">
        <v>205</v>
      </c>
      <c r="F86" s="13">
        <v>9</v>
      </c>
      <c r="G86" s="13">
        <v>25</v>
      </c>
      <c r="H86" s="13">
        <v>35</v>
      </c>
      <c r="I86" s="13">
        <v>100</v>
      </c>
      <c r="J86" s="14" t="s">
        <v>260</v>
      </c>
      <c r="K86" s="14" t="s">
        <v>128</v>
      </c>
      <c r="L86" s="14" t="s">
        <v>258</v>
      </c>
      <c r="M86" s="14" t="s">
        <v>576</v>
      </c>
      <c r="N86" s="3" cm="1">
        <f t="array" ref="N86">_xlfn.IFS(B86="Freshwater",1,B86="Brackish",2,B86="Seawater",3)</f>
        <v>3</v>
      </c>
      <c r="O86" s="3" cm="1">
        <f t="array" ref="O86">_xlfn.IFS(D86="Common",1,D86="Uncommon",2,D86="Rare",3,D86="Legendary",4,D86="Mythical",5,D86="Event",6)</f>
        <v>2</v>
      </c>
      <c r="P86" s="5" t="str">
        <f t="shared" si="1"/>
        <v>('Swordhilt Sea Catfish',3,2,205,9,25,35,100,'A coastal catfish is recognized by the distinctive arrangement of bones beneath its head, forming a hilt of a sword structure.'),</v>
      </c>
    </row>
    <row r="87" spans="1:16" ht="41.4" x14ac:dyDescent="0.3">
      <c r="A87" s="12" t="s">
        <v>262</v>
      </c>
      <c r="B87" s="12" t="s">
        <v>97</v>
      </c>
      <c r="C87" s="12" t="s">
        <v>221</v>
      </c>
      <c r="D87" s="12" t="s">
        <v>17</v>
      </c>
      <c r="E87" s="13">
        <v>215</v>
      </c>
      <c r="F87" s="13">
        <v>3</v>
      </c>
      <c r="G87" s="13">
        <v>9</v>
      </c>
      <c r="H87" s="13">
        <v>12</v>
      </c>
      <c r="I87" s="13">
        <v>55</v>
      </c>
      <c r="J87" s="14" t="s">
        <v>263</v>
      </c>
      <c r="K87" s="14" t="s">
        <v>183</v>
      </c>
      <c r="L87" s="14" t="s">
        <v>261</v>
      </c>
      <c r="M87" s="14" t="s">
        <v>577</v>
      </c>
      <c r="N87" s="3" cm="1">
        <f t="array" ref="N87">_xlfn.IFS(B87="Freshwater",1,B87="Brackish",2,B87="Seawater",3)</f>
        <v>3</v>
      </c>
      <c r="O87" s="3" cm="1">
        <f t="array" ref="O87">_xlfn.IFS(D87="Common",1,D87="Uncommon",2,D87="Rare",3,D87="Legendary",4,D87="Mythical",5,D87="Event",6)</f>
        <v>2</v>
      </c>
      <c r="P87" s="5" t="str">
        <f t="shared" si="1"/>
        <v>('Silverwhisker Sea Catfish',3,2,215,3,9,12,55,'A medium-sized coastal catfish with a silvery-gray body, long sensitive barbels, and sharp defensive spines. '),</v>
      </c>
    </row>
    <row r="88" spans="1:16" ht="55.2" x14ac:dyDescent="0.3">
      <c r="A88" s="12" t="s">
        <v>301</v>
      </c>
      <c r="B88" s="12" t="s">
        <v>97</v>
      </c>
      <c r="C88" s="12" t="s">
        <v>297</v>
      </c>
      <c r="D88" s="12" t="s">
        <v>17</v>
      </c>
      <c r="E88" s="13">
        <v>201</v>
      </c>
      <c r="F88" s="13">
        <v>8</v>
      </c>
      <c r="G88" s="13">
        <v>40</v>
      </c>
      <c r="H88" s="13">
        <v>12</v>
      </c>
      <c r="I88" s="13">
        <v>180</v>
      </c>
      <c r="J88" s="14" t="s">
        <v>302</v>
      </c>
      <c r="K88" s="14" t="s">
        <v>202</v>
      </c>
      <c r="L88" s="14" t="s">
        <v>58</v>
      </c>
      <c r="M88" s="14" t="s">
        <v>579</v>
      </c>
      <c r="N88" s="3" cm="1">
        <f t="array" ref="N88">_xlfn.IFS(B88="Freshwater",1,B88="Brackish",2,B88="Seawater",3)</f>
        <v>3</v>
      </c>
      <c r="O88" s="3" cm="1">
        <f t="array" ref="O88">_xlfn.IFS(D88="Common",1,D88="Uncommon",2,D88="Rare",3,D88="Legendary",4,D88="Mythical",5,D88="Event",6)</f>
        <v>2</v>
      </c>
      <c r="P88" s="5" t="str">
        <f t="shared" si="1"/>
        <v>('Common Dolphinfish',3,2,201,8,40,12,180,' Mature males have distinctive "foreheads"; it grows as the fish matures and often protrudes well above the body proper, which is streamlined by the musculature of the back'),</v>
      </c>
    </row>
    <row r="89" spans="1:16" ht="41.4" x14ac:dyDescent="0.3">
      <c r="A89" s="12" t="s">
        <v>357</v>
      </c>
      <c r="B89" s="12" t="s">
        <v>97</v>
      </c>
      <c r="C89" s="12" t="s">
        <v>346</v>
      </c>
      <c r="D89" s="12" t="s">
        <v>17</v>
      </c>
      <c r="E89" s="13">
        <v>430</v>
      </c>
      <c r="F89" s="13" t="s">
        <v>27</v>
      </c>
      <c r="G89" s="13">
        <v>9</v>
      </c>
      <c r="H89" s="13">
        <v>20</v>
      </c>
      <c r="I89" s="13">
        <v>51</v>
      </c>
      <c r="J89" s="14" t="s">
        <v>358</v>
      </c>
      <c r="K89" s="14" t="s">
        <v>173</v>
      </c>
      <c r="L89" s="14" t="s">
        <v>63</v>
      </c>
      <c r="M89" s="14" t="s">
        <v>580</v>
      </c>
      <c r="N89" s="3" cm="1">
        <f t="array" ref="N89">_xlfn.IFS(B89="Freshwater",1,B89="Brackish",2,B89="Seawater",3)</f>
        <v>3</v>
      </c>
      <c r="O89" s="3" cm="1">
        <f t="array" ref="O89">_xlfn.IFS(D89="Common",1,D89="Uncommon",2,D89="Rare",3,D89="Legendary",4,D89="Mythical",5,D89="Event",6)</f>
        <v>2</v>
      </c>
      <c r="P89" s="5" t="str">
        <f t="shared" si="1"/>
        <v>('Summer Flounder',3,2,430,0.5,9,20,51,'This fish is called the chameleon of the sea because their ability to change color to blend in with their surrounding.'),</v>
      </c>
    </row>
    <row r="90" spans="1:16" ht="41.4" x14ac:dyDescent="0.3">
      <c r="A90" s="12" t="s">
        <v>417</v>
      </c>
      <c r="B90" s="12" t="s">
        <v>97</v>
      </c>
      <c r="C90" s="12" t="s">
        <v>418</v>
      </c>
      <c r="D90" s="12" t="s">
        <v>15</v>
      </c>
      <c r="E90" s="13">
        <v>825</v>
      </c>
      <c r="F90" s="13" t="s">
        <v>201</v>
      </c>
      <c r="G90" s="13">
        <v>15</v>
      </c>
      <c r="H90" s="13">
        <v>15</v>
      </c>
      <c r="I90" s="13">
        <v>60</v>
      </c>
      <c r="J90" s="14" t="s">
        <v>419</v>
      </c>
      <c r="K90" s="14" t="s">
        <v>64</v>
      </c>
      <c r="L90" s="14" t="s">
        <v>410</v>
      </c>
      <c r="M90" s="14" t="s">
        <v>573</v>
      </c>
      <c r="N90" s="3" cm="1">
        <f t="array" ref="N90">_xlfn.IFS(B90="Freshwater",1,B90="Brackish",2,B90="Seawater",3)</f>
        <v>3</v>
      </c>
      <c r="O90" s="3" cm="1">
        <f t="array" ref="O90">_xlfn.IFS(D90="Common",1,D90="Uncommon",2,D90="Rare",3,D90="Legendary",4,D90="Mythical",5,D90="Event",6)</f>
        <v>1</v>
      </c>
      <c r="P90" s="5" t="str">
        <f t="shared" si="1"/>
        <v>('Redmouth Grouper',3,1,825,0.9,15,15,60,'The redmouth grouper is laterally compressed and oval-shaped with a relatively deep body, which is around half of the standard length, and a large head.'),</v>
      </c>
    </row>
    <row r="91" spans="1:16" ht="41.4" x14ac:dyDescent="0.3">
      <c r="A91" s="12" t="s">
        <v>420</v>
      </c>
      <c r="B91" s="12" t="s">
        <v>97</v>
      </c>
      <c r="C91" s="12" t="s">
        <v>418</v>
      </c>
      <c r="D91" s="12" t="s">
        <v>15</v>
      </c>
      <c r="E91" s="13">
        <v>775</v>
      </c>
      <c r="F91" s="13" t="s">
        <v>27</v>
      </c>
      <c r="G91" s="13">
        <v>2</v>
      </c>
      <c r="H91" s="13" t="s">
        <v>383</v>
      </c>
      <c r="I91" s="13">
        <v>75</v>
      </c>
      <c r="J91" s="14" t="s">
        <v>422</v>
      </c>
      <c r="K91" s="14" t="s">
        <v>64</v>
      </c>
      <c r="L91" s="14" t="s">
        <v>421</v>
      </c>
      <c r="M91" s="14" t="s">
        <v>573</v>
      </c>
      <c r="N91" s="3" cm="1">
        <f t="array" ref="N91">_xlfn.IFS(B91="Freshwater",1,B91="Brackish",2,B91="Seawater",3)</f>
        <v>3</v>
      </c>
      <c r="O91" s="3" cm="1">
        <f t="array" ref="O91">_xlfn.IFS(D91="Common",1,D91="Uncommon",2,D91="Rare",3,D91="Legendary",4,D91="Mythical",5,D91="Event",6)</f>
        <v>1</v>
      </c>
      <c r="P91" s="5" t="str">
        <f t="shared" si="1"/>
        <v>('Slender Grouper',3,1,775,0.5,2,12.5,75,'The slender grouper is a medium-sized fish with a head that occupies 40% of the total length, and the mouth is large.'),</v>
      </c>
    </row>
    <row r="92" spans="1:16" ht="55.2" x14ac:dyDescent="0.3">
      <c r="A92" s="12" t="s">
        <v>423</v>
      </c>
      <c r="B92" s="12" t="s">
        <v>97</v>
      </c>
      <c r="C92" s="12" t="s">
        <v>418</v>
      </c>
      <c r="D92" s="12" t="s">
        <v>17</v>
      </c>
      <c r="E92" s="13">
        <v>230</v>
      </c>
      <c r="F92" s="13" t="s">
        <v>205</v>
      </c>
      <c r="G92" s="13">
        <v>2</v>
      </c>
      <c r="H92" s="13" t="s">
        <v>425</v>
      </c>
      <c r="I92" s="13">
        <v>45</v>
      </c>
      <c r="J92" s="14" t="s">
        <v>426</v>
      </c>
      <c r="K92" s="14" t="s">
        <v>183</v>
      </c>
      <c r="L92" s="14" t="s">
        <v>252</v>
      </c>
      <c r="M92" s="14" t="s">
        <v>581</v>
      </c>
      <c r="N92" s="3" cm="1">
        <f t="array" ref="N92">_xlfn.IFS(B92="Freshwater",1,B92="Brackish",2,B92="Seawater",3)</f>
        <v>3</v>
      </c>
      <c r="O92" s="3" cm="1">
        <f t="array" ref="O92">_xlfn.IFS(D92="Common",1,D92="Uncommon",2,D92="Rare",3,D92="Legendary",4,D92="Mythical",5,D92="Event",6)</f>
        <v>2</v>
      </c>
      <c r="P92" s="5" t="str">
        <f t="shared" si="1"/>
        <v>('Masked Grouper',3,2,230,0.3,2,9.5,45,'The masked grouper has an oblong, rather compressed body, with the gill cover having a central spine which is located at one-third of the gap between the lower and upper spines.'),</v>
      </c>
    </row>
    <row r="93" spans="1:16" ht="41.4" x14ac:dyDescent="0.3">
      <c r="A93" s="12" t="s">
        <v>298</v>
      </c>
      <c r="B93" s="12" t="s">
        <v>97</v>
      </c>
      <c r="C93" s="12" t="s">
        <v>299</v>
      </c>
      <c r="D93" s="12" t="s">
        <v>17</v>
      </c>
      <c r="E93" s="13">
        <v>300</v>
      </c>
      <c r="F93" s="13">
        <v>5</v>
      </c>
      <c r="G93" s="13">
        <v>40</v>
      </c>
      <c r="H93" s="13">
        <v>11</v>
      </c>
      <c r="I93" s="13">
        <v>184</v>
      </c>
      <c r="J93" s="14" t="s">
        <v>300</v>
      </c>
      <c r="K93" s="14" t="s">
        <v>173</v>
      </c>
      <c r="L93" s="14" t="s">
        <v>258</v>
      </c>
      <c r="M93" s="14" t="s">
        <v>127</v>
      </c>
      <c r="N93" s="3" cm="1">
        <f t="array" ref="N93">_xlfn.IFS(B93="Freshwater",1,B93="Brackish",2,B93="Seawater",3)</f>
        <v>3</v>
      </c>
      <c r="O93" s="3" cm="1">
        <f t="array" ref="O93">_xlfn.IFS(D93="Common",1,D93="Uncommon",2,D93="Rare",3,D93="Legendary",4,D93="Mythical",5,D93="Event",6)</f>
        <v>2</v>
      </c>
      <c r="P93" s="5" t="str">
        <f t="shared" si="1"/>
        <v>('King Mackerel',3,2,300,5,40,11,184,'A swift ocean predator renowned for its speed and powerful runs. It patrols coastal waters in search of baitfish, making it a prized catch for fisherman.'),</v>
      </c>
    </row>
    <row r="94" spans="1:16" ht="44.4" customHeight="1" x14ac:dyDescent="0.3">
      <c r="A94" s="12" t="s">
        <v>293</v>
      </c>
      <c r="B94" s="12" t="s">
        <v>97</v>
      </c>
      <c r="C94" s="12" t="s">
        <v>294</v>
      </c>
      <c r="D94" s="12" t="s">
        <v>15</v>
      </c>
      <c r="E94" s="13">
        <v>875</v>
      </c>
      <c r="F94" s="13" t="s">
        <v>213</v>
      </c>
      <c r="G94" s="13" t="s">
        <v>295</v>
      </c>
      <c r="H94" s="13">
        <v>10</v>
      </c>
      <c r="I94" s="13">
        <v>35</v>
      </c>
      <c r="J94" s="14" t="s">
        <v>296</v>
      </c>
      <c r="K94" s="14" t="s">
        <v>64</v>
      </c>
      <c r="L94" s="14" t="s">
        <v>60</v>
      </c>
      <c r="M94" s="14" t="s">
        <v>585</v>
      </c>
      <c r="N94" s="3" cm="1">
        <f t="array" ref="N94">_xlfn.IFS(B94="Freshwater",1,B94="Brackish",2,B94="Seawater",3)</f>
        <v>3</v>
      </c>
      <c r="O94" s="3" cm="1">
        <f t="array" ref="O94">_xlfn.IFS(D94="Common",1,D94="Uncommon",2,D94="Rare",3,D94="Legendary",4,D94="Mythical",5,D94="Event",6)</f>
        <v>1</v>
      </c>
      <c r="P94" s="5" t="str">
        <f t="shared" si="1"/>
        <v>('Common Lionfish',3,1,875,0.1,1.3,10,35,'The fin spines are highly venomous and have caused death to humans in some reported cases. Despite this, a sting from this species is rarely fatal to humans.'),</v>
      </c>
    </row>
    <row r="95" spans="1:16" ht="55.2" x14ac:dyDescent="0.3">
      <c r="A95" s="12" t="s">
        <v>364</v>
      </c>
      <c r="B95" s="12" t="s">
        <v>97</v>
      </c>
      <c r="C95" s="12" t="s">
        <v>365</v>
      </c>
      <c r="D95" s="12" t="s">
        <v>17</v>
      </c>
      <c r="E95" s="13">
        <v>295</v>
      </c>
      <c r="F95" s="13">
        <v>2</v>
      </c>
      <c r="G95" s="13">
        <v>10</v>
      </c>
      <c r="H95" s="13">
        <v>90</v>
      </c>
      <c r="I95" s="13">
        <v>160</v>
      </c>
      <c r="J95" s="14" t="s">
        <v>866</v>
      </c>
      <c r="K95" s="14" t="s">
        <v>183</v>
      </c>
      <c r="L95" s="14" t="s">
        <v>366</v>
      </c>
      <c r="M95" s="14" t="s">
        <v>582</v>
      </c>
      <c r="N95" s="3" cm="1">
        <f t="array" ref="N95">_xlfn.IFS(B95="Freshwater",1,B95="Brackish",2,B95="Seawater",3)</f>
        <v>3</v>
      </c>
      <c r="O95" s="3" cm="1">
        <f t="array" ref="O95">_xlfn.IFS(D95="Common",1,D95="Uncommon",2,D95="Rare",3,D95="Legendary",4,D95="Mythical",5,D95="Event",6)</f>
        <v>2</v>
      </c>
      <c r="P95" s="5" t="str">
        <f t="shared" si="1"/>
        <v>('Spiny Dogfish',3,2,295,2,10,90,160,'Spiny Dogfish is distinguished by two spines (one anterior to each upper fin) and no anal fin. It lives in shallow waters and further offshore in most parts of the world, especially in temperate waters.'),</v>
      </c>
    </row>
    <row r="96" spans="1:16" ht="32.4" customHeight="1" x14ac:dyDescent="0.3">
      <c r="A96" s="12" t="s">
        <v>414</v>
      </c>
      <c r="B96" s="12" t="s">
        <v>97</v>
      </c>
      <c r="C96" s="12" t="s">
        <v>397</v>
      </c>
      <c r="D96" s="12" t="s">
        <v>15</v>
      </c>
      <c r="E96" s="13">
        <v>900</v>
      </c>
      <c r="F96" s="13">
        <v>2</v>
      </c>
      <c r="G96" s="13">
        <v>23</v>
      </c>
      <c r="H96" s="13">
        <v>23</v>
      </c>
      <c r="I96" s="13">
        <v>88</v>
      </c>
      <c r="J96" s="14" t="s">
        <v>416</v>
      </c>
      <c r="K96" s="14" t="s">
        <v>64</v>
      </c>
      <c r="L96" s="14" t="s">
        <v>415</v>
      </c>
      <c r="M96" s="14" t="s">
        <v>583</v>
      </c>
      <c r="N96" s="3" cm="1">
        <f t="array" ref="N96">_xlfn.IFS(B96="Freshwater",1,B96="Brackish",2,B96="Seawater",3)</f>
        <v>3</v>
      </c>
      <c r="O96" s="3" cm="1">
        <f t="array" ref="O96">_xlfn.IFS(D96="Common",1,D96="Uncommon",2,D96="Rare",3,D96="Legendary",4,D96="Mythical",5,D96="Event",6)</f>
        <v>1</v>
      </c>
      <c r="P96" s="5" t="str">
        <f t="shared" si="1"/>
        <v>('Northern Red Snapper',3,1,900,2,23,23,88,'They eat almost anything, but prefer small fish and crustaceans. They can be caught on both live and cut bait'),</v>
      </c>
    </row>
    <row r="97" spans="1:16" ht="31.8" customHeight="1" x14ac:dyDescent="0.3">
      <c r="A97" s="12" t="s">
        <v>1083</v>
      </c>
      <c r="B97" s="12" t="s">
        <v>97</v>
      </c>
      <c r="C97" s="12" t="s">
        <v>1084</v>
      </c>
      <c r="D97" s="12" t="s">
        <v>15</v>
      </c>
      <c r="E97" s="13">
        <v>451</v>
      </c>
      <c r="F97" s="13" t="s">
        <v>195</v>
      </c>
      <c r="G97" s="13" t="s">
        <v>291</v>
      </c>
      <c r="H97" s="13">
        <v>20</v>
      </c>
      <c r="I97" s="13">
        <v>60</v>
      </c>
      <c r="J97" s="14" t="s">
        <v>292</v>
      </c>
      <c r="K97" s="14" t="s">
        <v>64</v>
      </c>
      <c r="L97" s="14" t="s">
        <v>56</v>
      </c>
      <c r="M97" s="14" t="s">
        <v>584</v>
      </c>
      <c r="N97" s="3" cm="1">
        <f t="array" ref="N97">_xlfn.IFS(B97="Freshwater",1,B97="Brackish",2,B97="Seawater",3)</f>
        <v>3</v>
      </c>
      <c r="O97" s="3" cm="1">
        <f t="array" ref="O97">_xlfn.IFS(D97="Common",1,D97="Uncommon",2,D97="Rare",3,D97="Legendary",4,D97="Mythical",5,D97="Event",6)</f>
        <v>1</v>
      </c>
      <c r="P97" s="5" t="str">
        <f t="shared" si="1"/>
        <v>('Grey Crossbowfish',3,1,451,0.4,2.5,20,60,'The small beak-like mouth at the tip of the snout has fleshy lips. The eyes are set far back near the top of the head.'),</v>
      </c>
    </row>
    <row r="98" spans="1:16" ht="27.6" x14ac:dyDescent="0.3">
      <c r="A98" s="12" t="s">
        <v>359</v>
      </c>
      <c r="B98" s="12" t="s">
        <v>97</v>
      </c>
      <c r="C98" s="12" t="s">
        <v>360</v>
      </c>
      <c r="D98" s="12" t="s">
        <v>20</v>
      </c>
      <c r="E98" s="13">
        <v>90</v>
      </c>
      <c r="F98" s="13">
        <v>100</v>
      </c>
      <c r="G98" s="13">
        <v>700</v>
      </c>
      <c r="H98" s="13">
        <v>150</v>
      </c>
      <c r="I98" s="13">
        <v>400</v>
      </c>
      <c r="J98" s="14" t="s">
        <v>361</v>
      </c>
      <c r="K98" s="14" t="s">
        <v>128</v>
      </c>
      <c r="L98" s="14" t="s">
        <v>159</v>
      </c>
      <c r="M98" s="14" t="s">
        <v>586</v>
      </c>
      <c r="N98" s="3" cm="1">
        <f t="array" ref="N98">_xlfn.IFS(B98="Freshwater",1,B98="Brackish",2,B98="Seawater",3)</f>
        <v>3</v>
      </c>
      <c r="O98" s="3" cm="1">
        <f t="array" ref="O98">_xlfn.IFS(D98="Common",1,D98="Uncommon",2,D98="Rare",3,D98="Legendary",4,D98="Mythical",5,D98="Event",6)</f>
        <v>3</v>
      </c>
      <c r="P98" s="5" t="str">
        <f t="shared" si="1"/>
        <v>('Bluefin Tuna',3,3,90,100,700,150,400,'Their color is dark blue above and gray below, with a gold coruscation covering the body and bright yellow caudal finlets.'),</v>
      </c>
    </row>
    <row r="99" spans="1:16" ht="41.4" x14ac:dyDescent="0.3">
      <c r="A99" s="12" t="s">
        <v>362</v>
      </c>
      <c r="B99" s="12" t="s">
        <v>97</v>
      </c>
      <c r="C99" s="12" t="s">
        <v>360</v>
      </c>
      <c r="D99" s="12" t="s">
        <v>20</v>
      </c>
      <c r="E99" s="13">
        <v>95</v>
      </c>
      <c r="F99" s="13">
        <v>90</v>
      </c>
      <c r="G99" s="13">
        <v>450</v>
      </c>
      <c r="H99" s="13">
        <v>120</v>
      </c>
      <c r="I99" s="13">
        <v>240</v>
      </c>
      <c r="J99" s="14" t="s">
        <v>363</v>
      </c>
      <c r="K99" s="14" t="s">
        <v>104</v>
      </c>
      <c r="L99" s="14" t="s">
        <v>244</v>
      </c>
      <c r="M99" s="14" t="s">
        <v>96</v>
      </c>
      <c r="N99" s="3" cm="1">
        <f t="array" ref="N99">_xlfn.IFS(B99="Freshwater",1,B99="Brackish",2,B99="Seawater",3)</f>
        <v>3</v>
      </c>
      <c r="O99" s="3" cm="1">
        <f t="array" ref="O99">_xlfn.IFS(D99="Common",1,D99="Uncommon",2,D99="Rare",3,D99="Legendary",4,D99="Mythical",5,D99="Event",6)</f>
        <v>3</v>
      </c>
      <c r="P99" s="5" t="str">
        <f t="shared" si="1"/>
        <v>('Yellowfin Tuna',3,3,95,90,450,120,240,'Their body shape is particularly adapted for speed, enabling them to pursue and capture fast-moving baitfish, such as flying fish, sauries, and mackerel.'),</v>
      </c>
    </row>
    <row r="100" spans="1:16" ht="55.2" x14ac:dyDescent="0.3">
      <c r="A100" s="12" t="s">
        <v>408</v>
      </c>
      <c r="B100" s="12" t="s">
        <v>97</v>
      </c>
      <c r="C100" s="12" t="s">
        <v>360</v>
      </c>
      <c r="D100" s="12" t="s">
        <v>17</v>
      </c>
      <c r="E100" s="13">
        <v>350</v>
      </c>
      <c r="F100" s="13">
        <v>15</v>
      </c>
      <c r="G100" s="13">
        <v>40</v>
      </c>
      <c r="H100" s="13">
        <v>90</v>
      </c>
      <c r="I100" s="13">
        <v>150</v>
      </c>
      <c r="J100" s="14" t="s">
        <v>1172</v>
      </c>
      <c r="K100" s="14" t="s">
        <v>183</v>
      </c>
      <c r="L100" s="14" t="s">
        <v>261</v>
      </c>
      <c r="M100" s="14" t="s">
        <v>139</v>
      </c>
      <c r="N100" s="3" cm="1">
        <f t="array" ref="N100">_xlfn.IFS(B100="Freshwater",1,B100="Brackish",2,B100="Seawater",3)</f>
        <v>3</v>
      </c>
      <c r="O100" s="3" cm="1">
        <f t="array" ref="O100">_xlfn.IFS(D100="Common",1,D100="Uncommon",2,D100="Rare",3,D100="Legendary",4,D100="Mythical",5,D100="Event",6)</f>
        <v>2</v>
      </c>
      <c r="P100" s="5" t="str">
        <f t="shared" si="1"/>
        <v>('Longfin Tuna',3,2,350,15,40,90,150,'The longfin tuna has a streamlined, fusiform body with a conical snout, a large mouth, and big eyes. Its body is dark blue above, shades of silvery white ventrally, and covered by small scales.'),</v>
      </c>
    </row>
    <row r="101" spans="1:16" ht="41.4" x14ac:dyDescent="0.3">
      <c r="A101" s="12" t="s">
        <v>409</v>
      </c>
      <c r="B101" s="12" t="s">
        <v>97</v>
      </c>
      <c r="C101" s="12" t="s">
        <v>360</v>
      </c>
      <c r="D101" s="12" t="s">
        <v>17</v>
      </c>
      <c r="E101" s="13">
        <v>275</v>
      </c>
      <c r="F101" s="13" t="s">
        <v>411</v>
      </c>
      <c r="G101" s="13">
        <v>180</v>
      </c>
      <c r="H101" s="13">
        <v>75</v>
      </c>
      <c r="I101" s="13">
        <v>250</v>
      </c>
      <c r="J101" s="14" t="s">
        <v>413</v>
      </c>
      <c r="K101" s="14" t="s">
        <v>64</v>
      </c>
      <c r="L101" s="14" t="s">
        <v>412</v>
      </c>
      <c r="M101" s="14" t="s">
        <v>587</v>
      </c>
      <c r="N101" s="3" cm="1">
        <f t="array" ref="N101">_xlfn.IFS(B101="Freshwater",1,B101="Brackish",2,B101="Seawater",3)</f>
        <v>3</v>
      </c>
      <c r="O101" s="3" cm="1">
        <f t="array" ref="O101">_xlfn.IFS(D101="Common",1,D101="Uncommon",2,D101="Rare",3,D101="Legendary",4,D101="Mythical",5,D101="Event",6)</f>
        <v>2</v>
      </c>
      <c r="P101" s="5" t="str">
        <f t="shared" si="1"/>
        <v>('Bigeye Tuna',3,2,275,25.5,180,75,250,'The eyes of bigeye tuna are well developed and with a large spherical lens allowing their vision to function well in low light conditions.'),</v>
      </c>
    </row>
    <row r="102" spans="1:16" x14ac:dyDescent="0.3">
      <c r="L102" s="17" t="s">
        <v>424</v>
      </c>
      <c r="P102" s="5"/>
    </row>
  </sheetData>
  <autoFilter ref="A1:M102" xr:uid="{D72DDB04-9343-4C49-91F5-9D2C45772DD9}"/>
  <sortState xmlns:xlrd2="http://schemas.microsoft.com/office/spreadsheetml/2017/richdata2" ref="A2:M102">
    <sortCondition ref="B2:B102"/>
    <sortCondition ref="C2:C102"/>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A69-5B22-48E1-86E0-3ACA06FB4400}">
  <dimension ref="A1:C101"/>
  <sheetViews>
    <sheetView workbookViewId="0">
      <selection activeCell="C2" sqref="C2:C31"/>
    </sheetView>
  </sheetViews>
  <sheetFormatPr defaultRowHeight="14.4" x14ac:dyDescent="0.3"/>
  <cols>
    <col min="1" max="1" width="11" style="28" bestFit="1" customWidth="1"/>
    <col min="2" max="2" width="10.109375" style="28" bestFit="1" customWidth="1"/>
    <col min="3" max="16384" width="8.88671875" style="28"/>
  </cols>
  <sheetData>
    <row r="1" spans="1:3" x14ac:dyDescent="0.3">
      <c r="A1" s="11" t="s">
        <v>2</v>
      </c>
      <c r="B1" s="29" t="s">
        <v>37</v>
      </c>
    </row>
    <row r="2" spans="1:3" x14ac:dyDescent="0.3">
      <c r="A2" s="12" t="s">
        <v>268</v>
      </c>
      <c r="B2" s="29">
        <v>2</v>
      </c>
      <c r="C2" s="28" t="str">
        <f>_xlfn.CONCAT("('",A2,"',",B2,"),")</f>
        <v>('Archer',2),</v>
      </c>
    </row>
    <row r="3" spans="1:3" x14ac:dyDescent="0.3">
      <c r="A3" s="12" t="s">
        <v>34</v>
      </c>
      <c r="B3" s="29">
        <v>2</v>
      </c>
      <c r="C3" s="28" t="str">
        <f t="shared" ref="C3:C31" si="0">_xlfn.CONCAT("('",A3,"',",B3,"),")</f>
        <v>('Bream',2),</v>
      </c>
    </row>
    <row r="4" spans="1:3" x14ac:dyDescent="0.3">
      <c r="A4" s="12" t="s">
        <v>221</v>
      </c>
      <c r="B4" s="29">
        <v>2</v>
      </c>
      <c r="C4" s="28" t="str">
        <f t="shared" si="0"/>
        <v>('Catfish',2),</v>
      </c>
    </row>
    <row r="5" spans="1:3" x14ac:dyDescent="0.3">
      <c r="A5" s="12" t="s">
        <v>282</v>
      </c>
      <c r="B5" s="29">
        <v>2</v>
      </c>
      <c r="C5" s="28" t="str">
        <f t="shared" si="0"/>
        <v>('Cichlid',2),</v>
      </c>
    </row>
    <row r="6" spans="1:3" x14ac:dyDescent="0.3">
      <c r="A6" s="12" t="s">
        <v>346</v>
      </c>
      <c r="B6" s="29">
        <v>2</v>
      </c>
      <c r="C6" s="28" t="str">
        <f t="shared" si="0"/>
        <v>('Flatfish',2),</v>
      </c>
    </row>
    <row r="7" spans="1:3" x14ac:dyDescent="0.3">
      <c r="A7" s="12" t="s">
        <v>350</v>
      </c>
      <c r="B7" s="29">
        <v>2</v>
      </c>
      <c r="C7" s="28" t="str">
        <f t="shared" si="0"/>
        <v>('Four Eyed',2),</v>
      </c>
    </row>
    <row r="8" spans="1:3" x14ac:dyDescent="0.3">
      <c r="A8" s="12" t="s">
        <v>265</v>
      </c>
      <c r="B8" s="29">
        <v>2</v>
      </c>
      <c r="C8" s="28" t="str">
        <f t="shared" si="0"/>
        <v>('Goby',2),</v>
      </c>
    </row>
    <row r="9" spans="1:3" x14ac:dyDescent="0.3">
      <c r="A9" s="12" t="s">
        <v>406</v>
      </c>
      <c r="B9" s="29">
        <v>2</v>
      </c>
      <c r="C9" s="28" t="str">
        <f t="shared" si="0"/>
        <v>('Halfbeak',2),</v>
      </c>
    </row>
    <row r="10" spans="1:3" x14ac:dyDescent="0.3">
      <c r="A10" s="12" t="s">
        <v>394</v>
      </c>
      <c r="B10" s="29">
        <v>2</v>
      </c>
      <c r="C10" s="28" t="str">
        <f t="shared" si="0"/>
        <v>('Milkfish',2),</v>
      </c>
    </row>
    <row r="11" spans="1:3" x14ac:dyDescent="0.3">
      <c r="A11" s="12" t="s">
        <v>271</v>
      </c>
      <c r="B11" s="29">
        <v>2</v>
      </c>
      <c r="C11" s="28" t="str">
        <f t="shared" si="0"/>
        <v>('Moony',2),</v>
      </c>
    </row>
    <row r="12" spans="1:3" x14ac:dyDescent="0.3">
      <c r="A12" s="12" t="s">
        <v>403</v>
      </c>
      <c r="B12" s="29">
        <v>2</v>
      </c>
      <c r="C12" s="28" t="str">
        <f t="shared" si="0"/>
        <v>('Mullet',2),</v>
      </c>
    </row>
    <row r="13" spans="1:3" x14ac:dyDescent="0.3">
      <c r="A13" s="12" t="s">
        <v>352</v>
      </c>
      <c r="B13" s="29">
        <v>2</v>
      </c>
      <c r="C13" s="28" t="str">
        <f t="shared" si="0"/>
        <v>('Needlefish',2),</v>
      </c>
    </row>
    <row r="14" spans="1:3" x14ac:dyDescent="0.3">
      <c r="A14" s="12" t="s">
        <v>397</v>
      </c>
      <c r="B14" s="29">
        <v>2</v>
      </c>
      <c r="C14" s="28" t="str">
        <f t="shared" si="0"/>
        <v>('Snapper',2),</v>
      </c>
    </row>
    <row r="15" spans="1:3" x14ac:dyDescent="0.3">
      <c r="A15" s="12" t="s">
        <v>14</v>
      </c>
      <c r="B15" s="29">
        <v>1</v>
      </c>
      <c r="C15" s="28" t="str">
        <f t="shared" si="0"/>
        <v>('Carp',1),</v>
      </c>
    </row>
    <row r="16" spans="1:3" x14ac:dyDescent="0.3">
      <c r="A16" s="12" t="s">
        <v>274</v>
      </c>
      <c r="B16" s="29">
        <v>1</v>
      </c>
      <c r="C16" s="28" t="str">
        <f t="shared" si="0"/>
        <v>('Gar',1),</v>
      </c>
    </row>
    <row r="17" spans="1:3" x14ac:dyDescent="0.3">
      <c r="A17" s="12" t="s">
        <v>382</v>
      </c>
      <c r="B17" s="29">
        <v>1</v>
      </c>
      <c r="C17" s="28" t="str">
        <f t="shared" si="0"/>
        <v>('Perch',1),</v>
      </c>
    </row>
    <row r="18" spans="1:3" x14ac:dyDescent="0.3">
      <c r="A18" s="12" t="s">
        <v>372</v>
      </c>
      <c r="B18" s="29">
        <v>1</v>
      </c>
      <c r="C18" s="28" t="str">
        <f t="shared" si="0"/>
        <v>('Pike',1),</v>
      </c>
    </row>
    <row r="19" spans="1:3" x14ac:dyDescent="0.3">
      <c r="A19" s="12" t="s">
        <v>169</v>
      </c>
      <c r="B19" s="29">
        <v>1</v>
      </c>
      <c r="C19" s="28" t="str">
        <f t="shared" si="0"/>
        <v>('Sunfish',1),</v>
      </c>
    </row>
    <row r="20" spans="1:3" x14ac:dyDescent="0.3">
      <c r="A20" s="12" t="s">
        <v>23</v>
      </c>
      <c r="B20" s="29">
        <v>1</v>
      </c>
      <c r="C20" s="28" t="str">
        <f t="shared" si="0"/>
        <v>('Trout',1),</v>
      </c>
    </row>
    <row r="21" spans="1:3" x14ac:dyDescent="0.3">
      <c r="A21" s="16" t="s">
        <v>287</v>
      </c>
      <c r="B21" s="29">
        <v>3</v>
      </c>
      <c r="C21" s="28" t="str">
        <f t="shared" si="0"/>
        <v>('Anemone',3),</v>
      </c>
    </row>
    <row r="22" spans="1:3" x14ac:dyDescent="0.3">
      <c r="A22" s="12" t="s">
        <v>304</v>
      </c>
      <c r="B22" s="29">
        <v>3</v>
      </c>
      <c r="C22" s="28" t="str">
        <f t="shared" si="0"/>
        <v>('Barracuda',3),</v>
      </c>
    </row>
    <row r="23" spans="1:3" x14ac:dyDescent="0.3">
      <c r="A23" s="12" t="s">
        <v>354</v>
      </c>
      <c r="B23" s="29">
        <v>3</v>
      </c>
      <c r="C23" s="28" t="str">
        <f t="shared" si="0"/>
        <v>('Bass',3),</v>
      </c>
    </row>
    <row r="24" spans="1:3" x14ac:dyDescent="0.3">
      <c r="A24" s="12" t="s">
        <v>307</v>
      </c>
      <c r="B24" s="29">
        <v>3</v>
      </c>
      <c r="C24" s="28" t="str">
        <f t="shared" si="0"/>
        <v>('Billfish',3),</v>
      </c>
    </row>
    <row r="25" spans="1:3" x14ac:dyDescent="0.3">
      <c r="A25" s="12" t="s">
        <v>297</v>
      </c>
      <c r="B25" s="29">
        <v>3</v>
      </c>
      <c r="C25" s="28" t="str">
        <f t="shared" si="0"/>
        <v>('Dolphinfish',3),</v>
      </c>
    </row>
    <row r="26" spans="1:3" x14ac:dyDescent="0.3">
      <c r="A26" s="12" t="s">
        <v>418</v>
      </c>
      <c r="B26" s="29">
        <v>3</v>
      </c>
      <c r="C26" s="28" t="str">
        <f t="shared" si="0"/>
        <v>('Grouper',3),</v>
      </c>
    </row>
    <row r="27" spans="1:3" x14ac:dyDescent="0.3">
      <c r="A27" s="12" t="s">
        <v>299</v>
      </c>
      <c r="B27" s="29">
        <v>3</v>
      </c>
      <c r="C27" s="28" t="str">
        <f t="shared" si="0"/>
        <v>('Mackerel',3),</v>
      </c>
    </row>
    <row r="28" spans="1:3" x14ac:dyDescent="0.3">
      <c r="A28" s="12" t="s">
        <v>294</v>
      </c>
      <c r="B28" s="29">
        <v>3</v>
      </c>
      <c r="C28" s="28" t="str">
        <f t="shared" si="0"/>
        <v>('Scorpionfish',3),</v>
      </c>
    </row>
    <row r="29" spans="1:3" x14ac:dyDescent="0.3">
      <c r="A29" s="12" t="s">
        <v>365</v>
      </c>
      <c r="B29" s="29">
        <v>3</v>
      </c>
      <c r="C29" s="28" t="str">
        <f t="shared" si="0"/>
        <v>('Shark',3),</v>
      </c>
    </row>
    <row r="30" spans="1:3" x14ac:dyDescent="0.3">
      <c r="A30" s="12" t="s">
        <v>1084</v>
      </c>
      <c r="B30" s="29">
        <v>3</v>
      </c>
      <c r="C30" s="28" t="str">
        <f t="shared" si="0"/>
        <v>('Filefish',3),</v>
      </c>
    </row>
    <row r="31" spans="1:3" x14ac:dyDescent="0.3">
      <c r="A31" s="12" t="s">
        <v>360</v>
      </c>
      <c r="B31" s="29">
        <v>3</v>
      </c>
      <c r="C31" s="28" t="str">
        <f t="shared" si="0"/>
        <v>('Tuna',3),</v>
      </c>
    </row>
    <row r="32" spans="1:3" x14ac:dyDescent="0.3">
      <c r="A32" s="27"/>
    </row>
    <row r="33" spans="1:1" x14ac:dyDescent="0.3">
      <c r="A33" s="27"/>
    </row>
    <row r="34" spans="1:1" x14ac:dyDescent="0.3">
      <c r="A34" s="27"/>
    </row>
    <row r="35" spans="1:1" x14ac:dyDescent="0.3">
      <c r="A35" s="27"/>
    </row>
    <row r="36" spans="1:1" x14ac:dyDescent="0.3">
      <c r="A36" s="27"/>
    </row>
    <row r="37" spans="1:1" x14ac:dyDescent="0.3">
      <c r="A37" s="27"/>
    </row>
    <row r="38" spans="1:1" x14ac:dyDescent="0.3">
      <c r="A38" s="27"/>
    </row>
    <row r="39" spans="1:1" x14ac:dyDescent="0.3">
      <c r="A39" s="27"/>
    </row>
    <row r="40" spans="1:1" x14ac:dyDescent="0.3">
      <c r="A40" s="27"/>
    </row>
    <row r="41" spans="1:1" x14ac:dyDescent="0.3">
      <c r="A41" s="27"/>
    </row>
    <row r="42" spans="1:1" x14ac:dyDescent="0.3">
      <c r="A42" s="27"/>
    </row>
    <row r="43" spans="1:1" x14ac:dyDescent="0.3">
      <c r="A43" s="27"/>
    </row>
    <row r="44" spans="1:1" x14ac:dyDescent="0.3">
      <c r="A44" s="27"/>
    </row>
    <row r="45" spans="1:1" x14ac:dyDescent="0.3">
      <c r="A45" s="27"/>
    </row>
    <row r="46" spans="1:1" x14ac:dyDescent="0.3">
      <c r="A46" s="27"/>
    </row>
    <row r="47" spans="1:1" x14ac:dyDescent="0.3">
      <c r="A47" s="27"/>
    </row>
    <row r="48" spans="1:1" x14ac:dyDescent="0.3">
      <c r="A48" s="27"/>
    </row>
    <row r="49" spans="1:1" x14ac:dyDescent="0.3">
      <c r="A49" s="27"/>
    </row>
    <row r="50" spans="1:1" x14ac:dyDescent="0.3">
      <c r="A50" s="27"/>
    </row>
    <row r="51" spans="1:1" x14ac:dyDescent="0.3">
      <c r="A51" s="27"/>
    </row>
    <row r="52" spans="1:1" x14ac:dyDescent="0.3">
      <c r="A52" s="27"/>
    </row>
    <row r="53" spans="1:1" x14ac:dyDescent="0.3">
      <c r="A53" s="27"/>
    </row>
    <row r="54" spans="1:1" x14ac:dyDescent="0.3">
      <c r="A54" s="27"/>
    </row>
    <row r="55" spans="1:1" x14ac:dyDescent="0.3">
      <c r="A55" s="27"/>
    </row>
    <row r="56" spans="1:1" x14ac:dyDescent="0.3">
      <c r="A56" s="27"/>
    </row>
    <row r="57" spans="1:1" x14ac:dyDescent="0.3">
      <c r="A57" s="27"/>
    </row>
    <row r="58" spans="1:1" x14ac:dyDescent="0.3">
      <c r="A58" s="27"/>
    </row>
    <row r="59" spans="1:1" x14ac:dyDescent="0.3">
      <c r="A59" s="27"/>
    </row>
    <row r="60" spans="1:1" x14ac:dyDescent="0.3">
      <c r="A60" s="27"/>
    </row>
    <row r="61" spans="1:1" x14ac:dyDescent="0.3">
      <c r="A61" s="27"/>
    </row>
    <row r="62" spans="1:1" x14ac:dyDescent="0.3">
      <c r="A62" s="27"/>
    </row>
    <row r="63" spans="1:1" x14ac:dyDescent="0.3">
      <c r="A63" s="27"/>
    </row>
    <row r="64" spans="1:1" x14ac:dyDescent="0.3">
      <c r="A64" s="27"/>
    </row>
    <row r="65" spans="1:1" x14ac:dyDescent="0.3">
      <c r="A65" s="27"/>
    </row>
    <row r="66" spans="1:1" x14ac:dyDescent="0.3">
      <c r="A66" s="27"/>
    </row>
    <row r="67" spans="1:1" x14ac:dyDescent="0.3">
      <c r="A67" s="27"/>
    </row>
    <row r="68" spans="1:1" x14ac:dyDescent="0.3">
      <c r="A68" s="27"/>
    </row>
    <row r="69" spans="1:1" x14ac:dyDescent="0.3">
      <c r="A69" s="27"/>
    </row>
    <row r="70" spans="1:1" x14ac:dyDescent="0.3">
      <c r="A70" s="27"/>
    </row>
    <row r="71" spans="1:1" x14ac:dyDescent="0.3">
      <c r="A71" s="27"/>
    </row>
    <row r="72" spans="1:1" x14ac:dyDescent="0.3">
      <c r="A72" s="27"/>
    </row>
    <row r="73" spans="1:1" x14ac:dyDescent="0.3">
      <c r="A73" s="27"/>
    </row>
    <row r="74" spans="1:1" x14ac:dyDescent="0.3">
      <c r="A74" s="27"/>
    </row>
    <row r="75" spans="1:1" x14ac:dyDescent="0.3">
      <c r="A75" s="27"/>
    </row>
    <row r="76" spans="1:1" x14ac:dyDescent="0.3">
      <c r="A76" s="27"/>
    </row>
    <row r="77" spans="1:1" x14ac:dyDescent="0.3">
      <c r="A77" s="27"/>
    </row>
    <row r="78" spans="1:1" x14ac:dyDescent="0.3">
      <c r="A78" s="27"/>
    </row>
    <row r="79" spans="1:1" x14ac:dyDescent="0.3">
      <c r="A79" s="27"/>
    </row>
    <row r="80" spans="1:1" x14ac:dyDescent="0.3">
      <c r="A80" s="27"/>
    </row>
    <row r="81" spans="1:1" x14ac:dyDescent="0.3">
      <c r="A81" s="27"/>
    </row>
    <row r="82" spans="1:1" x14ac:dyDescent="0.3">
      <c r="A82" s="27"/>
    </row>
    <row r="83" spans="1:1" x14ac:dyDescent="0.3">
      <c r="A83" s="27"/>
    </row>
    <row r="84" spans="1:1" x14ac:dyDescent="0.3">
      <c r="A84" s="27"/>
    </row>
    <row r="85" spans="1:1" x14ac:dyDescent="0.3">
      <c r="A85" s="27"/>
    </row>
    <row r="86" spans="1:1" x14ac:dyDescent="0.3">
      <c r="A86" s="27"/>
    </row>
    <row r="87" spans="1:1" x14ac:dyDescent="0.3">
      <c r="A87" s="27"/>
    </row>
    <row r="88" spans="1:1" x14ac:dyDescent="0.3">
      <c r="A88" s="27"/>
    </row>
    <row r="89" spans="1:1" x14ac:dyDescent="0.3">
      <c r="A89" s="27"/>
    </row>
    <row r="90" spans="1:1" x14ac:dyDescent="0.3">
      <c r="A90" s="27"/>
    </row>
    <row r="91" spans="1:1" x14ac:dyDescent="0.3">
      <c r="A91" s="27"/>
    </row>
    <row r="92" spans="1:1" x14ac:dyDescent="0.3">
      <c r="A92" s="27"/>
    </row>
    <row r="93" spans="1:1" x14ac:dyDescent="0.3">
      <c r="A93" s="27"/>
    </row>
    <row r="94" spans="1:1" x14ac:dyDescent="0.3">
      <c r="A94" s="27"/>
    </row>
    <row r="95" spans="1:1" x14ac:dyDescent="0.3">
      <c r="A95" s="27"/>
    </row>
    <row r="96" spans="1:1" x14ac:dyDescent="0.3">
      <c r="A96" s="27"/>
    </row>
    <row r="97" spans="1:1" x14ac:dyDescent="0.3">
      <c r="A97" s="27"/>
    </row>
    <row r="98" spans="1:1" x14ac:dyDescent="0.3">
      <c r="A98" s="27"/>
    </row>
    <row r="99" spans="1:1" x14ac:dyDescent="0.3">
      <c r="A99" s="27"/>
    </row>
    <row r="100" spans="1:1" x14ac:dyDescent="0.3">
      <c r="A100" s="27"/>
    </row>
    <row r="101" spans="1:1" x14ac:dyDescent="0.3">
      <c r="A101" s="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E62F-263C-414E-A448-8B21530BFE26}">
  <sheetPr codeName="Sheet6"/>
  <dimension ref="A1:J201"/>
  <sheetViews>
    <sheetView zoomScale="60" zoomScaleNormal="60" workbookViewId="0">
      <pane ySplit="1" topLeftCell="A2" activePane="bottomLeft" state="frozen"/>
      <selection pane="bottomLeft" activeCell="M26" sqref="M26"/>
    </sheetView>
  </sheetViews>
  <sheetFormatPr defaultColWidth="8.88671875" defaultRowHeight="13.8" x14ac:dyDescent="0.25"/>
  <cols>
    <col min="1" max="1" width="23.21875" style="12" bestFit="1" customWidth="1"/>
    <col min="2" max="2" width="21.33203125" style="12" bestFit="1" customWidth="1"/>
    <col min="3" max="3" width="9.6640625" style="13" bestFit="1" customWidth="1"/>
    <col min="4" max="7" width="9.33203125" style="13" bestFit="1" customWidth="1"/>
    <col min="8" max="8" width="82" style="14" customWidth="1"/>
    <col min="9" max="9" width="81.44140625" style="3" hidden="1" customWidth="1"/>
    <col min="10" max="10" width="0" style="3" hidden="1" customWidth="1"/>
    <col min="11" max="16384" width="8.88671875" style="6"/>
  </cols>
  <sheetData>
    <row r="1" spans="1:10" ht="27.6" x14ac:dyDescent="0.25">
      <c r="A1" s="11" t="s">
        <v>145</v>
      </c>
      <c r="B1" s="11" t="s">
        <v>0</v>
      </c>
      <c r="C1" s="11" t="s">
        <v>650</v>
      </c>
      <c r="D1" s="11" t="s">
        <v>9</v>
      </c>
      <c r="E1" s="11" t="s">
        <v>10</v>
      </c>
      <c r="F1" s="11" t="s">
        <v>11</v>
      </c>
      <c r="G1" s="11" t="s">
        <v>12</v>
      </c>
      <c r="H1" s="11" t="s">
        <v>1</v>
      </c>
      <c r="I1" s="3" t="s">
        <v>1189</v>
      </c>
    </row>
    <row r="2" spans="1:10" x14ac:dyDescent="0.25">
      <c r="A2" s="12" t="s">
        <v>333</v>
      </c>
      <c r="B2" s="12" t="s">
        <v>634</v>
      </c>
      <c r="C2" s="13" t="s">
        <v>27</v>
      </c>
      <c r="D2" s="13" t="s">
        <v>198</v>
      </c>
      <c r="E2" s="13" t="s">
        <v>28</v>
      </c>
      <c r="F2" s="13">
        <v>5</v>
      </c>
      <c r="G2" s="13">
        <v>15</v>
      </c>
      <c r="H2" s="14" t="s">
        <v>644</v>
      </c>
      <c r="I2" s="3" t="str">
        <f>_xlfn.CONCAT("SELECT fish_id FROM fishing.t_fish WHERE fish_name = '",A2,"'")</f>
        <v>SELECT fish_id FROM fishing.t_fish WHERE fish_name = 'Banded Archerfish'</v>
      </c>
      <c r="J2" s="3" t="str">
        <f>_xlfn.CONCAT("((",I2,"),","'",B2,"',","'",H2,"',",C2,",",D2,",",E2,",",F2,",",G2,"),")</f>
        <v>((SELECT fish_id FROM fishing.t_fish WHERE fish_name = 'Banded Archerfish'),'Banded Scalefish','A mutated archerfish with scales as hard as a rock to prevent predators from eating them.',0.5,0.2,1.5,5,15),</v>
      </c>
    </row>
    <row r="3" spans="1:10" ht="27.6" x14ac:dyDescent="0.25">
      <c r="A3" s="12" t="s">
        <v>333</v>
      </c>
      <c r="B3" s="12" t="s">
        <v>635</v>
      </c>
      <c r="C3" s="13" t="s">
        <v>27</v>
      </c>
      <c r="D3" s="13" t="s">
        <v>27</v>
      </c>
      <c r="E3" s="13">
        <v>2</v>
      </c>
      <c r="F3" s="13">
        <v>8</v>
      </c>
      <c r="G3" s="13">
        <v>20</v>
      </c>
      <c r="H3" s="14" t="s">
        <v>733</v>
      </c>
      <c r="I3" s="3" t="str">
        <f t="shared" ref="I3:I66" si="0">_xlfn.CONCAT("SELECT fish_id FROM fishing.t_fish WHERE fish_name = '",A3,"'")</f>
        <v>SELECT fish_id FROM fishing.t_fish WHERE fish_name = 'Banded Archerfish'</v>
      </c>
      <c r="J3" s="3" t="str">
        <f t="shared" ref="J3:J66" si="1">_xlfn.CONCAT("((",I3,"),","'",B3,"',","'",H3,"',",C3,",",D3,",",E3,",",F3,",",G3,"),")</f>
        <v>((SELECT fish_id FROM fishing.t_fish WHERE fish_name = 'Banded Archerfish'),'Banded Flamefish','An archerfish that shoots hot water to hunt, mana allows it to superheat the water inside its mouth before shooting it.',0.5,0.5,2,8,20),</v>
      </c>
    </row>
    <row r="4" spans="1:10" x14ac:dyDescent="0.25">
      <c r="A4" s="12" t="s">
        <v>331</v>
      </c>
      <c r="B4" s="12" t="s">
        <v>636</v>
      </c>
      <c r="C4" s="13" t="s">
        <v>214</v>
      </c>
      <c r="D4" s="13" t="s">
        <v>213</v>
      </c>
      <c r="E4" s="13" t="s">
        <v>637</v>
      </c>
      <c r="F4" s="13">
        <v>4</v>
      </c>
      <c r="G4" s="13">
        <v>45</v>
      </c>
      <c r="H4" s="14" t="s">
        <v>734</v>
      </c>
      <c r="I4" s="3" t="str">
        <f t="shared" si="0"/>
        <v>SELECT fish_id FROM fishing.t_fish WHERE fish_name = 'Northern Archerfish'</v>
      </c>
      <c r="J4" s="3" t="str">
        <f t="shared" si="1"/>
        <v>((SELECT fish_id FROM fishing.t_fish WHERE fish_name = 'Northern Archerfish'),'Horned Archerfish','Horned Archerfish uses its horn to defend itself and as a way to attract the female',0.6,0.1,1.7,4,45),</v>
      </c>
    </row>
    <row r="5" spans="1:10" ht="27.6" x14ac:dyDescent="0.25">
      <c r="A5" s="12" t="s">
        <v>331</v>
      </c>
      <c r="B5" s="12" t="s">
        <v>638</v>
      </c>
      <c r="C5" s="13" t="s">
        <v>195</v>
      </c>
      <c r="D5" s="13" t="s">
        <v>205</v>
      </c>
      <c r="E5" s="13" t="s">
        <v>639</v>
      </c>
      <c r="F5" s="13" t="s">
        <v>174</v>
      </c>
      <c r="G5" s="13">
        <v>47</v>
      </c>
      <c r="H5" s="14" t="s">
        <v>645</v>
      </c>
      <c r="I5" s="3" t="str">
        <f t="shared" si="0"/>
        <v>SELECT fish_id FROM fishing.t_fish WHERE fish_name = 'Northern Archerfish'</v>
      </c>
      <c r="J5" s="3" t="str">
        <f t="shared" si="1"/>
        <v>((SELECT fish_id FROM fishing.t_fish WHERE fish_name = 'Northern Archerfish'),'Northern Clawfish','Its fin mutated to have a razor-sharp claw to penetrate the mouth of a fish unfortunate enough to eat it.',0.4,0.3,2.2,4.5,47),</v>
      </c>
    </row>
    <row r="6" spans="1:10" x14ac:dyDescent="0.25">
      <c r="A6" s="12" t="s">
        <v>172</v>
      </c>
      <c r="B6" s="12" t="s">
        <v>640</v>
      </c>
      <c r="C6" s="13" t="s">
        <v>205</v>
      </c>
      <c r="D6" s="13" t="s">
        <v>343</v>
      </c>
      <c r="E6" s="13">
        <v>5</v>
      </c>
      <c r="F6" s="13">
        <v>17</v>
      </c>
      <c r="G6" s="13">
        <v>39</v>
      </c>
      <c r="H6" s="14" t="s">
        <v>646</v>
      </c>
      <c r="I6" s="3" t="str">
        <f t="shared" si="0"/>
        <v>SELECT fish_id FROM fishing.t_fish WHERE fish_name = 'Black Bream'</v>
      </c>
      <c r="J6" s="3" t="str">
        <f t="shared" si="1"/>
        <v>((SELECT fish_id FROM fishing.t_fish WHERE fish_name = 'Black Bream'),'Black-Scale Bream','The scale of this fish mutated to have a scale similar to a dragon's, but not as hard.',0.3,0.7,5,17,39),</v>
      </c>
    </row>
    <row r="7" spans="1:10" x14ac:dyDescent="0.25">
      <c r="A7" s="12" t="s">
        <v>172</v>
      </c>
      <c r="B7" s="12" t="s">
        <v>690</v>
      </c>
      <c r="C7" s="13" t="s">
        <v>343</v>
      </c>
      <c r="D7" s="13" t="s">
        <v>214</v>
      </c>
      <c r="E7" s="13">
        <v>3</v>
      </c>
      <c r="F7" s="13">
        <v>10</v>
      </c>
      <c r="G7" s="13">
        <v>24</v>
      </c>
      <c r="H7" s="14" t="s">
        <v>647</v>
      </c>
      <c r="I7" s="3" t="str">
        <f t="shared" si="0"/>
        <v>SELECT fish_id FROM fishing.t_fish WHERE fish_name = 'Black Bream'</v>
      </c>
      <c r="J7" s="3" t="str">
        <f t="shared" si="1"/>
        <v>((SELECT fish_id FROM fishing.t_fish WHERE fish_name = 'Black Bream'),'Moonlit Bream','Bream that hunt at night, using their faint glow to attract smaller fish to come closer.',0.7,0.6,3,10,24),</v>
      </c>
    </row>
    <row r="8" spans="1:10" ht="27.6" x14ac:dyDescent="0.25">
      <c r="A8" s="12" t="s">
        <v>180</v>
      </c>
      <c r="B8" s="12" t="s">
        <v>641</v>
      </c>
      <c r="C8" s="13" t="s">
        <v>195</v>
      </c>
      <c r="D8" s="13" t="s">
        <v>27</v>
      </c>
      <c r="E8" s="13">
        <v>5</v>
      </c>
      <c r="F8" s="13">
        <v>15</v>
      </c>
      <c r="G8" s="13">
        <v>38</v>
      </c>
      <c r="H8" s="14" t="s">
        <v>735</v>
      </c>
      <c r="I8" s="3" t="str">
        <f t="shared" si="0"/>
        <v>SELECT fish_id FROM fishing.t_fish WHERE fish_name = 'Tarwhine Bream'</v>
      </c>
      <c r="J8" s="3" t="str">
        <f t="shared" si="1"/>
        <v>((SELECT fish_id FROM fishing.t_fish WHERE fish_name = 'Tarwhine Bream'),'Mucus Bream','A mucus-covered bream makes its body sleek and slippery; it has a foul taste that discourage predators from eating it.',0.4,0.5,5,15,38),</v>
      </c>
    </row>
    <row r="9" spans="1:10" ht="27.6" x14ac:dyDescent="0.25">
      <c r="A9" s="12" t="s">
        <v>180</v>
      </c>
      <c r="B9" s="12" t="s">
        <v>642</v>
      </c>
      <c r="C9" s="13" t="s">
        <v>214</v>
      </c>
      <c r="D9" s="13">
        <v>1</v>
      </c>
      <c r="E9" s="13">
        <v>9</v>
      </c>
      <c r="F9" s="13">
        <v>20</v>
      </c>
      <c r="G9" s="13">
        <v>60</v>
      </c>
      <c r="H9" s="14" t="s">
        <v>643</v>
      </c>
      <c r="I9" s="3" t="str">
        <f t="shared" si="0"/>
        <v>SELECT fish_id FROM fishing.t_fish WHERE fish_name = 'Tarwhine Bream'</v>
      </c>
      <c r="J9" s="3" t="str">
        <f t="shared" si="1"/>
        <v>((SELECT fish_id FROM fishing.t_fish WHERE fish_name = 'Tarwhine Bream'),'Dagger Fang Bream','A large bream with a dagger-sharp fang, because of this mutation, it became so aggressive that it would attack anything that moved in the water.',0.6,1,9,20,60),</v>
      </c>
    </row>
    <row r="10" spans="1:10" x14ac:dyDescent="0.25">
      <c r="A10" s="12" t="s">
        <v>251</v>
      </c>
      <c r="B10" s="12" t="s">
        <v>648</v>
      </c>
      <c r="C10" s="13" t="s">
        <v>201</v>
      </c>
      <c r="D10" s="13">
        <v>1</v>
      </c>
      <c r="E10" s="13">
        <v>4</v>
      </c>
      <c r="F10" s="13">
        <v>18</v>
      </c>
      <c r="G10" s="13">
        <v>52</v>
      </c>
      <c r="H10" s="14" t="s">
        <v>649</v>
      </c>
      <c r="I10" s="3" t="str">
        <f t="shared" si="0"/>
        <v>SELECT fish_id FROM fishing.t_fish WHERE fish_name = 'Hardhead Catfish'</v>
      </c>
      <c r="J10" s="3" t="str">
        <f t="shared" si="1"/>
        <v>((SELECT fish_id FROM fishing.t_fish WHERE fish_name = 'Hardhead Catfish'),'Helmet Catfish','A catfish that has a head as hard as a soldier's helmet, designed to ram into prey.',0.9,1,4,18,52),</v>
      </c>
    </row>
    <row r="11" spans="1:10" x14ac:dyDescent="0.25">
      <c r="A11" s="12" t="s">
        <v>251</v>
      </c>
      <c r="B11" s="12" t="s">
        <v>651</v>
      </c>
      <c r="C11" s="13" t="s">
        <v>213</v>
      </c>
      <c r="D11" s="13" t="s">
        <v>343</v>
      </c>
      <c r="E11" s="13" t="s">
        <v>652</v>
      </c>
      <c r="F11" s="13">
        <v>12</v>
      </c>
      <c r="G11" s="13">
        <v>38</v>
      </c>
      <c r="H11" s="14" t="s">
        <v>653</v>
      </c>
      <c r="I11" s="3" t="str">
        <f t="shared" si="0"/>
        <v>SELECT fish_id FROM fishing.t_fish WHERE fish_name = 'Hardhead Catfish'</v>
      </c>
      <c r="J11" s="3" t="str">
        <f t="shared" si="1"/>
        <v>((SELECT fish_id FROM fishing.t_fish WHERE fish_name = 'Hardhead Catfish'),'Mana-Whiskered Catfish','Its whiskers can detect the slightest change in the water, making it extremely hard to catch.',0.1,0.7,3.8,12,38),</v>
      </c>
    </row>
    <row r="12" spans="1:10" ht="27.6" x14ac:dyDescent="0.25">
      <c r="A12" s="12" t="s">
        <v>255</v>
      </c>
      <c r="B12" s="12" t="s">
        <v>689</v>
      </c>
      <c r="C12" s="13" t="s">
        <v>205</v>
      </c>
      <c r="D12" s="13" t="s">
        <v>343</v>
      </c>
      <c r="E12" s="13">
        <v>3</v>
      </c>
      <c r="F12" s="13">
        <v>7</v>
      </c>
      <c r="G12" s="13">
        <v>26</v>
      </c>
      <c r="H12" s="14" t="s">
        <v>845</v>
      </c>
      <c r="I12" s="3" t="str">
        <f t="shared" si="0"/>
        <v>SELECT fish_id FROM fishing.t_fish WHERE fish_name = 'Gafftopsail Catfish'</v>
      </c>
      <c r="J12" s="3" t="str">
        <f t="shared" si="1"/>
        <v>((SELECT fish_id FROM fishing.t_fish WHERE fish_name = 'Gafftopsail Catfish'),'Bloodeye Catfish','This catfish has a red eye that enables it to see exceptionally well in a low-light area. Fishermen usually save its eyes for luck.',0.3,0.7,3,7,26),</v>
      </c>
    </row>
    <row r="13" spans="1:10" x14ac:dyDescent="0.25">
      <c r="A13" s="12" t="s">
        <v>255</v>
      </c>
      <c r="B13" s="12" t="s">
        <v>654</v>
      </c>
      <c r="C13" s="13" t="s">
        <v>343</v>
      </c>
      <c r="D13" s="13" t="s">
        <v>28</v>
      </c>
      <c r="E13" s="13" t="s">
        <v>174</v>
      </c>
      <c r="F13" s="13">
        <v>15</v>
      </c>
      <c r="G13" s="13">
        <v>45</v>
      </c>
      <c r="H13" s="14" t="s">
        <v>691</v>
      </c>
      <c r="I13" s="3" t="str">
        <f t="shared" si="0"/>
        <v>SELECT fish_id FROM fishing.t_fish WHERE fish_name = 'Gafftopsail Catfish'</v>
      </c>
      <c r="J13" s="3" t="str">
        <f t="shared" si="1"/>
        <v>((SELECT fish_id FROM fishing.t_fish WHERE fish_name = 'Gafftopsail Catfish'),'Venomous Catfish','Its tail fin becomes so venomous that its venom has claimed many careless fishermen.',0.7,1.5,4.5,15,45),</v>
      </c>
    </row>
    <row r="14" spans="1:10" ht="27.6" x14ac:dyDescent="0.25">
      <c r="A14" s="12" t="s">
        <v>281</v>
      </c>
      <c r="B14" s="12" t="s">
        <v>664</v>
      </c>
      <c r="C14" s="13" t="s">
        <v>198</v>
      </c>
      <c r="D14" s="13" t="s">
        <v>213</v>
      </c>
      <c r="E14" s="13">
        <v>1</v>
      </c>
      <c r="F14" s="13">
        <v>3</v>
      </c>
      <c r="G14" s="13">
        <v>10</v>
      </c>
      <c r="H14" s="14" t="s">
        <v>665</v>
      </c>
      <c r="I14" s="3" t="str">
        <f t="shared" si="0"/>
        <v>SELECT fish_id FROM fishing.t_fish WHERE fish_name = 'Green Chromide'</v>
      </c>
      <c r="J14" s="3" t="str">
        <f t="shared" si="1"/>
        <v>((SELECT fish_id FROM fishing.t_fish WHERE fish_name = 'Green Chromide'),'Blinded Chromide','The eyes of this fish are cloudy, making it have terrible eyesight, but in return, the fish is incredible sensitive to mana fluctuation and changes in water.',0.2,0.1,1,3,10),</v>
      </c>
    </row>
    <row r="15" spans="1:10" ht="27.6" x14ac:dyDescent="0.25">
      <c r="A15" s="12" t="s">
        <v>281</v>
      </c>
      <c r="B15" s="12" t="s">
        <v>663</v>
      </c>
      <c r="C15" s="13" t="s">
        <v>208</v>
      </c>
      <c r="D15" s="13" t="s">
        <v>198</v>
      </c>
      <c r="E15" s="13" t="s">
        <v>291</v>
      </c>
      <c r="F15" s="13">
        <v>8</v>
      </c>
      <c r="G15" s="13">
        <v>35</v>
      </c>
      <c r="H15" s="14" t="s">
        <v>844</v>
      </c>
      <c r="I15" s="3" t="str">
        <f t="shared" si="0"/>
        <v>SELECT fish_id FROM fishing.t_fish WHERE fish_name = 'Green Chromide'</v>
      </c>
      <c r="J15" s="3" t="str">
        <f t="shared" si="1"/>
        <v>((SELECT fish_id FROM fishing.t_fish WHERE fish_name = 'Green Chromide'),'Frenzied Chromide','The mana made this fish go into a frenzy whenever it smelled blood from the water, attacking everthing near the blood.',0.8,0.2,2.5,8,35),</v>
      </c>
    </row>
    <row r="16" spans="1:10" ht="27.6" x14ac:dyDescent="0.25">
      <c r="A16" s="12" t="s">
        <v>285</v>
      </c>
      <c r="B16" s="12" t="s">
        <v>667</v>
      </c>
      <c r="C16" s="13" t="s">
        <v>214</v>
      </c>
      <c r="D16" s="13">
        <v>1</v>
      </c>
      <c r="E16" s="13">
        <v>2</v>
      </c>
      <c r="F16" s="13">
        <v>5</v>
      </c>
      <c r="G16" s="13">
        <v>20</v>
      </c>
      <c r="H16" s="14" t="s">
        <v>736</v>
      </c>
      <c r="I16" s="3" t="str">
        <f t="shared" si="0"/>
        <v>SELECT fish_id FROM fishing.t_fish WHERE fish_name = 'Orange Chromide'</v>
      </c>
      <c r="J16" s="3" t="str">
        <f t="shared" si="1"/>
        <v>((SELECT fish_id FROM fishing.t_fish WHERE fish_name = 'Orange Chromide'),'Giant Orange Chromide','This fish became so big because of mana circulating through its body; it has also become carnivorous.',0.6,1,2,5,20),</v>
      </c>
    </row>
    <row r="17" spans="1:10" x14ac:dyDescent="0.25">
      <c r="A17" s="12" t="s">
        <v>285</v>
      </c>
      <c r="B17" s="12" t="s">
        <v>666</v>
      </c>
      <c r="C17" s="13" t="s">
        <v>195</v>
      </c>
      <c r="D17" s="13" t="s">
        <v>213</v>
      </c>
      <c r="E17" s="13" t="s">
        <v>27</v>
      </c>
      <c r="F17" s="13">
        <v>1</v>
      </c>
      <c r="G17" s="13">
        <v>7</v>
      </c>
      <c r="H17" s="14" t="s">
        <v>672</v>
      </c>
      <c r="I17" s="3" t="str">
        <f t="shared" si="0"/>
        <v>SELECT fish_id FROM fishing.t_fish WHERE fish_name = 'Orange Chromide'</v>
      </c>
      <c r="J17" s="3" t="str">
        <f t="shared" si="1"/>
        <v>((SELECT fish_id FROM fishing.t_fish WHERE fish_name = 'Orange Chromide'),'Loosejaw Chromide','Its jaw can open so wide, it can swallow fish bigger than its body weight.',0.4,0.1,0.5,1,7),</v>
      </c>
    </row>
    <row r="18" spans="1:10" ht="27.6" x14ac:dyDescent="0.25">
      <c r="A18" s="12" t="s">
        <v>339</v>
      </c>
      <c r="B18" s="12" t="s">
        <v>688</v>
      </c>
      <c r="C18" s="13" t="s">
        <v>205</v>
      </c>
      <c r="D18" s="13" t="s">
        <v>214</v>
      </c>
      <c r="E18" s="13">
        <v>4</v>
      </c>
      <c r="F18" s="13">
        <v>8</v>
      </c>
      <c r="G18" s="13">
        <v>50</v>
      </c>
      <c r="H18" s="14" t="s">
        <v>673</v>
      </c>
      <c r="I18" s="3" t="str">
        <f t="shared" si="0"/>
        <v>SELECT fish_id FROM fishing.t_fish WHERE fish_name = 'Blue Tilapia'</v>
      </c>
      <c r="J18" s="3" t="str">
        <f t="shared" si="1"/>
        <v>((SELECT fish_id FROM fishing.t_fish WHERE fish_name = 'Blue Tilapia'),'Frostblood Tilapia','This tilapia has a body temperature lower than the water around it; its body can cause frostbite if held too long.',0.3,0.6,4,8,50),</v>
      </c>
    </row>
    <row r="19" spans="1:10" ht="27.6" x14ac:dyDescent="0.25">
      <c r="A19" s="12" t="s">
        <v>339</v>
      </c>
      <c r="B19" s="12" t="s">
        <v>668</v>
      </c>
      <c r="C19" s="13" t="s">
        <v>343</v>
      </c>
      <c r="D19" s="13" t="s">
        <v>343</v>
      </c>
      <c r="E19" s="13">
        <v>6</v>
      </c>
      <c r="F19" s="13">
        <v>10</v>
      </c>
      <c r="G19" s="13">
        <v>45</v>
      </c>
      <c r="H19" s="14" t="s">
        <v>737</v>
      </c>
      <c r="I19" s="3" t="str">
        <f t="shared" si="0"/>
        <v>SELECT fish_id FROM fishing.t_fish WHERE fish_name = 'Blue Tilapia'</v>
      </c>
      <c r="J19" s="3" t="str">
        <f t="shared" si="1"/>
        <v>((SELECT fish_id FROM fishing.t_fish WHERE fish_name = 'Blue Tilapia'),'Scaly Tilapia','This fish evolves to have harder scales; its hardened scales protect it from larger predators while also reflecting sunlight with a metallic sheen.',0.7,0.7,6,10,45),</v>
      </c>
    </row>
    <row r="20" spans="1:10" ht="27.6" x14ac:dyDescent="0.25">
      <c r="A20" s="12" t="s">
        <v>341</v>
      </c>
      <c r="B20" s="12" t="s">
        <v>670</v>
      </c>
      <c r="C20" s="13" t="s">
        <v>195</v>
      </c>
      <c r="D20" s="13" t="s">
        <v>214</v>
      </c>
      <c r="E20" s="13" t="s">
        <v>671</v>
      </c>
      <c r="F20" s="13">
        <v>7</v>
      </c>
      <c r="G20" s="13">
        <v>55</v>
      </c>
      <c r="H20" s="14" t="s">
        <v>855</v>
      </c>
      <c r="I20" s="3" t="str">
        <f t="shared" si="0"/>
        <v>SELECT fish_id FROM fishing.t_fish WHERE fish_name = 'Black Tilapia'</v>
      </c>
      <c r="J20" s="3" t="str">
        <f t="shared" si="1"/>
        <v>((SELECT fish_id FROM fishing.t_fish WHERE fish_name = 'Black Tilapia'),'Bladed Spine Tilapia','Mana reinforced its upper fin until it hardened into a blade-like fin. This fish can sometimes be seen fighting with another species for territory.',0.4,0.6,3.5,7,55),</v>
      </c>
    </row>
    <row r="21" spans="1:10" x14ac:dyDescent="0.25">
      <c r="A21" s="12" t="s">
        <v>341</v>
      </c>
      <c r="B21" s="12" t="s">
        <v>669</v>
      </c>
      <c r="C21" s="13" t="s">
        <v>214</v>
      </c>
      <c r="D21" s="13">
        <v>1</v>
      </c>
      <c r="E21" s="13">
        <v>3</v>
      </c>
      <c r="F21" s="13">
        <v>8</v>
      </c>
      <c r="G21" s="13">
        <v>42</v>
      </c>
      <c r="H21" s="14" t="s">
        <v>674</v>
      </c>
      <c r="I21" s="3" t="str">
        <f t="shared" si="0"/>
        <v>SELECT fish_id FROM fishing.t_fish WHERE fish_name = 'Black Tilapia'</v>
      </c>
      <c r="J21" s="3" t="str">
        <f t="shared" si="1"/>
        <v>((SELECT fish_id FROM fishing.t_fish WHERE fish_name = 'Black Tilapia'),'Hookfin Tilapia','With its hooked fin, this fish hunts its prey by chasing it and slashing the prey before devouring it.',0.6,1,3,8,42),</v>
      </c>
    </row>
    <row r="22" spans="1:10" x14ac:dyDescent="0.25">
      <c r="A22" s="12" t="s">
        <v>345</v>
      </c>
      <c r="B22" s="12" t="s">
        <v>675</v>
      </c>
      <c r="C22" s="13" t="s">
        <v>214</v>
      </c>
      <c r="D22" s="13" t="s">
        <v>205</v>
      </c>
      <c r="E22" s="13" t="s">
        <v>208</v>
      </c>
      <c r="F22" s="13">
        <v>3</v>
      </c>
      <c r="G22" s="13">
        <v>22</v>
      </c>
      <c r="H22" s="14" t="s">
        <v>676</v>
      </c>
      <c r="I22" s="3" t="str">
        <f t="shared" si="0"/>
        <v>SELECT fish_id FROM fishing.t_fish WHERE fish_name = 'Hogchoker'</v>
      </c>
      <c r="J22" s="3" t="str">
        <f t="shared" si="1"/>
        <v>((SELECT fish_id FROM fishing.t_fish WHERE fish_name = 'Hogchoker'),'Sandy Hogchoker','This hogchoker can camouflage itself with the surrounding area, preferably sandy or muddy water.',0.6,0.3,0.8,3,22),</v>
      </c>
    </row>
    <row r="23" spans="1:10" ht="27.6" x14ac:dyDescent="0.25">
      <c r="A23" s="12" t="s">
        <v>345</v>
      </c>
      <c r="B23" s="12" t="s">
        <v>1123</v>
      </c>
      <c r="C23" s="13" t="s">
        <v>195</v>
      </c>
      <c r="D23" s="13" t="s">
        <v>198</v>
      </c>
      <c r="E23" s="13">
        <v>1</v>
      </c>
      <c r="F23" s="13">
        <v>6</v>
      </c>
      <c r="G23" s="13">
        <v>30</v>
      </c>
      <c r="H23" s="14" t="s">
        <v>679</v>
      </c>
      <c r="I23" s="3" t="str">
        <f t="shared" si="0"/>
        <v>SELECT fish_id FROM fishing.t_fish WHERE fish_name = 'Hogchoker'</v>
      </c>
      <c r="J23" s="3" t="str">
        <f t="shared" si="1"/>
        <v>((SELECT fish_id FROM fishing.t_fish WHERE fish_name = 'Hogchoker'),'Venomous Hogchoker','Its skin have a tiny needles on its skin, whenever something or someone even touches it, it will inject a deadly toxin that clogs the blood.',0.4,0.2,1,6,30),</v>
      </c>
    </row>
    <row r="24" spans="1:10" ht="27.6" x14ac:dyDescent="0.25">
      <c r="A24" s="12" t="s">
        <v>349</v>
      </c>
      <c r="B24" s="12" t="s">
        <v>678</v>
      </c>
      <c r="C24" s="13" t="s">
        <v>205</v>
      </c>
      <c r="D24" s="13" t="s">
        <v>213</v>
      </c>
      <c r="E24" s="13">
        <v>1</v>
      </c>
      <c r="F24" s="13">
        <v>5</v>
      </c>
      <c r="G24" s="13">
        <v>30</v>
      </c>
      <c r="H24" s="14" t="s">
        <v>738</v>
      </c>
      <c r="I24" s="3" t="str">
        <f t="shared" si="0"/>
        <v>SELECT fish_id FROM fishing.t_fish WHERE fish_name = 'Four-eyed Fish'</v>
      </c>
      <c r="J24" s="3" t="str">
        <f t="shared" si="1"/>
        <v>((SELECT fish_id FROM fishing.t_fish WHERE fish_name = 'Four-eyed Fish'),'Lightning-eyes Fish','This fish swam so fast, its explosive burst of speed makes it nearly impossible to follow with the naked eye.',0.3,0.1,1,5,30),</v>
      </c>
    </row>
    <row r="25" spans="1:10" ht="27.6" x14ac:dyDescent="0.25">
      <c r="A25" s="12" t="s">
        <v>349</v>
      </c>
      <c r="B25" s="12" t="s">
        <v>677</v>
      </c>
      <c r="C25" s="13" t="s">
        <v>343</v>
      </c>
      <c r="D25" s="13" t="s">
        <v>198</v>
      </c>
      <c r="E25" s="13" t="s">
        <v>32</v>
      </c>
      <c r="F25" s="13">
        <v>6</v>
      </c>
      <c r="G25" s="13">
        <v>31</v>
      </c>
      <c r="H25" s="14" t="s">
        <v>693</v>
      </c>
      <c r="I25" s="3" t="str">
        <f t="shared" si="0"/>
        <v>SELECT fish_id FROM fishing.t_fish WHERE fish_name = 'Four-eyed Fish'</v>
      </c>
      <c r="J25" s="3" t="str">
        <f t="shared" si="1"/>
        <v>((SELECT fish_id FROM fishing.t_fish WHERE fish_name = 'Four-eyed Fish'),'Six-eyed Fish','The extra pair of eyes made this fish have 360° eyesight. Its expanded field of vision allows it to detect predators and prey from almost any direction.',0.7,0.2,1.1,6,31),</v>
      </c>
    </row>
    <row r="26" spans="1:10" ht="27.6" x14ac:dyDescent="0.25">
      <c r="A26" s="12" t="s">
        <v>264</v>
      </c>
      <c r="B26" s="12" t="s">
        <v>682</v>
      </c>
      <c r="C26" s="13" t="s">
        <v>198</v>
      </c>
      <c r="D26" s="13" t="s">
        <v>198</v>
      </c>
      <c r="E26" s="13" t="s">
        <v>256</v>
      </c>
      <c r="F26" s="13">
        <v>7</v>
      </c>
      <c r="G26" s="13">
        <v>30</v>
      </c>
      <c r="H26" s="14" t="s">
        <v>751</v>
      </c>
      <c r="I26" s="3" t="str">
        <f t="shared" si="0"/>
        <v>SELECT fish_id FROM fishing.t_fish WHERE fish_name = 'Giant Mudskipper'</v>
      </c>
      <c r="J26" s="3" t="str">
        <f t="shared" si="1"/>
        <v>((SELECT fish_id FROM fishing.t_fish WHERE fish_name = 'Giant Mudskipper'),'Sawtoothed Mudskipper','This mudskipper use it tooth to saw into the roots of a tree near the water, eating the root bit by bit.',0.2,0.2,1.2,7,30),</v>
      </c>
    </row>
    <row r="27" spans="1:10" ht="27.6" x14ac:dyDescent="0.25">
      <c r="A27" s="12" t="s">
        <v>264</v>
      </c>
      <c r="B27" s="12" t="s">
        <v>680</v>
      </c>
      <c r="C27" s="13" t="s">
        <v>208</v>
      </c>
      <c r="D27" s="13">
        <v>1</v>
      </c>
      <c r="E27" s="13">
        <v>3</v>
      </c>
      <c r="F27" s="13">
        <v>15</v>
      </c>
      <c r="G27" s="13">
        <v>59</v>
      </c>
      <c r="H27" s="14" t="s">
        <v>681</v>
      </c>
      <c r="I27" s="3" t="str">
        <f t="shared" si="0"/>
        <v>SELECT fish_id FROM fishing.t_fish WHERE fish_name = 'Giant Mudskipper'</v>
      </c>
      <c r="J27" s="3" t="str">
        <f t="shared" si="1"/>
        <v>((SELECT fish_id FROM fishing.t_fish WHERE fish_name = 'Giant Mudskipper'),'Raksasa Mudskipper','This giant fish evolves to be bigger because of continuous exposure to mana. It moved from a small crab to bigger and bigger prey.',0.8,1,3,15,59),</v>
      </c>
    </row>
    <row r="28" spans="1:10" ht="27.6" x14ac:dyDescent="0.25">
      <c r="A28" s="12" t="s">
        <v>279</v>
      </c>
      <c r="B28" s="12" t="s">
        <v>684</v>
      </c>
      <c r="C28" s="13" t="s">
        <v>195</v>
      </c>
      <c r="D28" s="13" t="s">
        <v>213</v>
      </c>
      <c r="E28" s="13" t="s">
        <v>27</v>
      </c>
      <c r="F28" s="13">
        <v>7</v>
      </c>
      <c r="G28" s="13">
        <v>55</v>
      </c>
      <c r="H28" s="14" t="s">
        <v>692</v>
      </c>
      <c r="I28" s="3" t="str">
        <f t="shared" si="0"/>
        <v>SELECT fish_id FROM fishing.t_fish WHERE fish_name = 'Dragon Goby'</v>
      </c>
      <c r="J28" s="3" t="str">
        <f t="shared" si="1"/>
        <v>((SELECT fish_id FROM fishing.t_fish WHERE fish_name = 'Dragon Goby'),'Poison-skin Goby','The skin of this goby is covered with a potent poison, one of the deadliest toxins among freshwater fish',0.4,0.1,0.5,7,55),</v>
      </c>
    </row>
    <row r="29" spans="1:10" x14ac:dyDescent="0.25">
      <c r="A29" s="12" t="s">
        <v>279</v>
      </c>
      <c r="B29" s="12" t="s">
        <v>683</v>
      </c>
      <c r="C29" s="13" t="s">
        <v>214</v>
      </c>
      <c r="D29" s="13" t="s">
        <v>198</v>
      </c>
      <c r="E29" s="13" t="s">
        <v>208</v>
      </c>
      <c r="F29" s="13">
        <v>9</v>
      </c>
      <c r="G29" s="13">
        <v>65</v>
      </c>
      <c r="H29" s="14" t="s">
        <v>752</v>
      </c>
      <c r="I29" s="3" t="str">
        <f t="shared" si="0"/>
        <v>SELECT fish_id FROM fishing.t_fish WHERE fish_name = 'Dragon Goby'</v>
      </c>
      <c r="J29" s="3" t="str">
        <f t="shared" si="1"/>
        <v>((SELECT fish_id FROM fishing.t_fish WHERE fish_name = 'Dragon Goby'),'Flaming Goby','This goby can raise its body temperature enough to scald nearby predators that dare to bite it.',0.6,0.2,0.8,9,65),</v>
      </c>
    </row>
    <row r="30" spans="1:10" ht="27.6" x14ac:dyDescent="0.25">
      <c r="A30" s="12" t="s">
        <v>277</v>
      </c>
      <c r="B30" s="12" t="s">
        <v>687</v>
      </c>
      <c r="C30" s="13" t="s">
        <v>27</v>
      </c>
      <c r="D30" s="13" t="s">
        <v>213</v>
      </c>
      <c r="E30" s="13" t="s">
        <v>295</v>
      </c>
      <c r="F30" s="13" t="s">
        <v>256</v>
      </c>
      <c r="G30" s="13" t="s">
        <v>686</v>
      </c>
      <c r="H30" s="14" t="s">
        <v>739</v>
      </c>
      <c r="I30" s="3" t="str">
        <f t="shared" si="0"/>
        <v>SELECT fish_id FROM fishing.t_fish WHERE fish_name = 'Knight Goby'</v>
      </c>
      <c r="J30" s="3" t="str">
        <f t="shared" si="1"/>
        <v>((SELECT fish_id FROM fishing.t_fish WHERE fish_name = 'Knight Goby'),'Soldier Goby','The territorial behaviour of this fish became so intense that it will relentlessly patrol and defend their territory no matter how big the predators are.',0.5,0.1,1.3,1.2,9.2),</v>
      </c>
    </row>
    <row r="31" spans="1:10" x14ac:dyDescent="0.25">
      <c r="A31" s="12" t="s">
        <v>277</v>
      </c>
      <c r="B31" s="12" t="s">
        <v>685</v>
      </c>
      <c r="C31" s="13" t="s">
        <v>27</v>
      </c>
      <c r="D31" s="13" t="s">
        <v>198</v>
      </c>
      <c r="E31" s="13" t="s">
        <v>256</v>
      </c>
      <c r="F31" s="13" t="s">
        <v>201</v>
      </c>
      <c r="G31" s="13" t="s">
        <v>240</v>
      </c>
      <c r="H31" s="14" t="s">
        <v>694</v>
      </c>
      <c r="I31" s="3" t="str">
        <f t="shared" si="0"/>
        <v>SELECT fish_id FROM fishing.t_fish WHERE fish_name = 'Knight Goby'</v>
      </c>
      <c r="J31" s="3" t="str">
        <f t="shared" si="1"/>
        <v>((SELECT fish_id FROM fishing.t_fish WHERE fish_name = 'Knight Goby'),'Stonehide Goby','Its scales become as hard as a rock, a hammer sometime need to be used to even descale it.',0.5,0.2,1.2,0.9,8.5),</v>
      </c>
    </row>
    <row r="32" spans="1:10" ht="27.6" x14ac:dyDescent="0.25">
      <c r="A32" s="12" t="s">
        <v>334</v>
      </c>
      <c r="B32" s="12" t="s">
        <v>696</v>
      </c>
      <c r="C32" s="13" t="s">
        <v>195</v>
      </c>
      <c r="D32" s="13" t="s">
        <v>205</v>
      </c>
      <c r="E32" s="13">
        <v>2</v>
      </c>
      <c r="F32" s="13">
        <v>2</v>
      </c>
      <c r="G32" s="13">
        <v>8</v>
      </c>
      <c r="H32" s="14" t="s">
        <v>697</v>
      </c>
      <c r="I32" s="3" t="str">
        <f t="shared" si="0"/>
        <v>SELECT fish_id FROM fishing.t_fish WHERE fish_name = 'Bumblebee Goby'</v>
      </c>
      <c r="J32" s="3" t="str">
        <f t="shared" si="1"/>
        <v>((SELECT fish_id FROM fishing.t_fish WHERE fish_name = 'Bumblebee Goby'),'Antler Goby','It has a large horn resembling a deer antler in front of its head, used to dig a hole and ram a predator that got too close.',0.4,0.3,2,2,8),</v>
      </c>
    </row>
    <row r="33" spans="1:10" ht="27.6" x14ac:dyDescent="0.25">
      <c r="A33" s="12" t="s">
        <v>334</v>
      </c>
      <c r="B33" s="12" t="s">
        <v>695</v>
      </c>
      <c r="C33" s="13" t="s">
        <v>214</v>
      </c>
      <c r="D33" s="13" t="s">
        <v>198</v>
      </c>
      <c r="E33" s="13" t="s">
        <v>28</v>
      </c>
      <c r="F33" s="13" t="s">
        <v>28</v>
      </c>
      <c r="G33" s="13">
        <v>6</v>
      </c>
      <c r="H33" s="14" t="s">
        <v>740</v>
      </c>
      <c r="I33" s="3" t="str">
        <f t="shared" si="0"/>
        <v>SELECT fish_id FROM fishing.t_fish WHERE fish_name = 'Bumblebee Goby'</v>
      </c>
      <c r="J33" s="3" t="str">
        <f t="shared" si="1"/>
        <v>((SELECT fish_id FROM fishing.t_fish WHERE fish_name = 'Bumblebee Goby'),'Poison-ring Goby','At first glance, this goby doesn't seem dangerous, but it has one of the deadliest poisons surrounding the body.',0.6,0.2,1.5,1.5,6),</v>
      </c>
    </row>
    <row r="34" spans="1:10" ht="27.6" x14ac:dyDescent="0.25">
      <c r="A34" s="12" t="s">
        <v>337</v>
      </c>
      <c r="B34" s="12" t="s">
        <v>699</v>
      </c>
      <c r="C34" s="13" t="s">
        <v>201</v>
      </c>
      <c r="D34" s="13" t="s">
        <v>256</v>
      </c>
      <c r="E34" s="13" t="s">
        <v>701</v>
      </c>
      <c r="F34" s="13" t="s">
        <v>702</v>
      </c>
      <c r="G34" s="13" t="s">
        <v>703</v>
      </c>
      <c r="H34" s="14" t="s">
        <v>700</v>
      </c>
      <c r="I34" s="3" t="str">
        <f t="shared" si="0"/>
        <v>SELECT fish_id FROM fishing.t_fish WHERE fish_name = 'Marble Goby'</v>
      </c>
      <c r="J34" s="3" t="str">
        <f t="shared" si="1"/>
        <v>((SELECT fish_id FROM fishing.t_fish WHERE fish_name = 'Marble Goby'),'Gleaming Goby','This white colored goby is an aggressive goby that will attack anything that it thinks would pose a threat to its territory.',0.9,1.2,8.3,12.3,67.5),</v>
      </c>
    </row>
    <row r="35" spans="1:10" ht="41.4" x14ac:dyDescent="0.25">
      <c r="A35" s="12" t="s">
        <v>337</v>
      </c>
      <c r="B35" s="12" t="s">
        <v>698</v>
      </c>
      <c r="C35" s="13" t="s">
        <v>213</v>
      </c>
      <c r="D35" s="13">
        <v>2</v>
      </c>
      <c r="E35" s="13">
        <v>15</v>
      </c>
      <c r="F35" s="13">
        <v>20</v>
      </c>
      <c r="G35" s="13">
        <v>100</v>
      </c>
      <c r="H35" s="14" t="s">
        <v>711</v>
      </c>
      <c r="I35" s="3" t="str">
        <f t="shared" si="0"/>
        <v>SELECT fish_id FROM fishing.t_fish WHERE fish_name = 'Marble Goby'</v>
      </c>
      <c r="J35" s="3" t="str">
        <f t="shared" si="1"/>
        <v>((SELECT fish_id FROM fishing.t_fish WHERE fish_name = 'Marble Goby'),'Mugwort Goby','A highly prized fish among the nobles of Rosegleam, this fish is believed to ease chronic pain and restore vitality. While some nobles reported positive changes in their body, the long-term effects remain poorly understood, as few people can even afford to eat it.',0.1,2,15,20,100),</v>
      </c>
    </row>
    <row r="36" spans="1:10" ht="27.6" x14ac:dyDescent="0.25">
      <c r="A36" s="12" t="s">
        <v>405</v>
      </c>
      <c r="B36" s="12" t="s">
        <v>706</v>
      </c>
      <c r="C36" s="13" t="s">
        <v>195</v>
      </c>
      <c r="D36" s="13" t="s">
        <v>213</v>
      </c>
      <c r="E36" s="13" t="s">
        <v>198</v>
      </c>
      <c r="F36" s="13" t="s">
        <v>201</v>
      </c>
      <c r="G36" s="13">
        <v>6</v>
      </c>
      <c r="H36" s="14" t="s">
        <v>707</v>
      </c>
      <c r="I36" s="3" t="str">
        <f t="shared" si="0"/>
        <v>SELECT fish_id FROM fishing.t_fish WHERE fish_name = 'Wrestling Halfbeak'</v>
      </c>
      <c r="J36" s="3" t="str">
        <f t="shared" si="1"/>
        <v>((SELECT fish_id FROM fishing.t_fish WHERE fish_name = 'Wrestling Halfbeak'),'Charred Halfbeak','Mana contamination is slowly making its body decay from within. The charred flesh began to peel from its body and detach; it instinctively fed on its own rotting flesh, delaying its inevitable death.',0.4,0.1,0.2,0.9,6),</v>
      </c>
    </row>
    <row r="37" spans="1:10" ht="27.6" x14ac:dyDescent="0.25">
      <c r="A37" s="12" t="s">
        <v>405</v>
      </c>
      <c r="B37" s="12" t="s">
        <v>704</v>
      </c>
      <c r="C37" s="13" t="s">
        <v>214</v>
      </c>
      <c r="D37" s="13" t="s">
        <v>205</v>
      </c>
      <c r="E37" s="13" t="s">
        <v>214</v>
      </c>
      <c r="F37" s="13" t="s">
        <v>295</v>
      </c>
      <c r="G37" s="13">
        <v>9</v>
      </c>
      <c r="H37" s="14" t="s">
        <v>705</v>
      </c>
      <c r="I37" s="3" t="str">
        <f t="shared" si="0"/>
        <v>SELECT fish_id FROM fishing.t_fish WHERE fish_name = 'Wrestling Halfbeak'</v>
      </c>
      <c r="J37" s="3" t="str">
        <f t="shared" si="1"/>
        <v>((SELECT fish_id FROM fishing.t_fish WHERE fish_name = 'Wrestling Halfbeak'),'Spear-jaw Halfbeak','Its lower jaw evolved to become as sharp as a spear. It kills its prey by swimming really fast and impaling them, then slowly eating the prey when it is stuck on its jaw.',0.6,0.3,0.6,1.3,9),</v>
      </c>
    </row>
    <row r="38" spans="1:10" ht="41.4" x14ac:dyDescent="0.25">
      <c r="A38" s="12" t="s">
        <v>394</v>
      </c>
      <c r="B38" s="12" t="s">
        <v>709</v>
      </c>
      <c r="C38" s="13" t="s">
        <v>214</v>
      </c>
      <c r="D38" s="13" t="s">
        <v>295</v>
      </c>
      <c r="E38" s="13">
        <v>23</v>
      </c>
      <c r="F38" s="13">
        <v>50</v>
      </c>
      <c r="G38" s="13">
        <v>130</v>
      </c>
      <c r="H38" s="14" t="s">
        <v>710</v>
      </c>
      <c r="I38" s="3" t="str">
        <f t="shared" si="0"/>
        <v>SELECT fish_id FROM fishing.t_fish WHERE fish_name = 'Milkfish'</v>
      </c>
      <c r="J38" s="3" t="str">
        <f t="shared" si="1"/>
        <v>((SELECT fish_id FROM fishing.t_fish WHERE fish_name = 'Milkfish'),'Cheesefish','The flesh of this fish emits a pungent odor resembling aged cheese. The smell attracts smaller school fish, providing it with an endless supply of prey, but the downside, it also draws a bigger predator to its location.',0.6,1.3,23,50,130),</v>
      </c>
    </row>
    <row r="39" spans="1:10" ht="41.4" x14ac:dyDescent="0.25">
      <c r="A39" s="12" t="s">
        <v>394</v>
      </c>
      <c r="B39" s="12" t="s">
        <v>708</v>
      </c>
      <c r="C39" s="13" t="s">
        <v>195</v>
      </c>
      <c r="D39" s="13" t="s">
        <v>28</v>
      </c>
      <c r="E39" s="13">
        <v>25</v>
      </c>
      <c r="F39" s="13">
        <v>70</v>
      </c>
      <c r="G39" s="13">
        <v>200</v>
      </c>
      <c r="H39" s="14" t="s">
        <v>741</v>
      </c>
      <c r="I39" s="3" t="str">
        <f t="shared" si="0"/>
        <v>SELECT fish_id FROM fishing.t_fish WHERE fish_name = 'Milkfish'</v>
      </c>
      <c r="J39" s="3" t="str">
        <f t="shared" si="1"/>
        <v>((SELECT fish_id FROM fishing.t_fish WHERE fish_name = 'Milkfish'),'Butterfish','The flesh of this fish has been altered by mana, making it unusually rich and buttery. Despite its tender meat, its behavior is nothing but aggressive; it will attack anything that even comes too close to its territory.',0.4,1.5,25,70,200),</v>
      </c>
    </row>
    <row r="40" spans="1:10" ht="27.6" x14ac:dyDescent="0.25">
      <c r="A40" s="12" t="s">
        <v>272</v>
      </c>
      <c r="B40" s="12" t="s">
        <v>713</v>
      </c>
      <c r="C40" s="13" t="s">
        <v>198</v>
      </c>
      <c r="D40" s="13" t="s">
        <v>198</v>
      </c>
      <c r="E40" s="13" t="s">
        <v>32</v>
      </c>
      <c r="F40" s="13">
        <v>6</v>
      </c>
      <c r="G40" s="13">
        <v>20</v>
      </c>
      <c r="H40" s="14" t="s">
        <v>714</v>
      </c>
      <c r="I40" s="3" t="str">
        <f t="shared" si="0"/>
        <v>SELECT fish_id FROM fishing.t_fish WHERE fish_name = 'Tidehaven Moony'</v>
      </c>
      <c r="J40" s="3" t="str">
        <f t="shared" si="1"/>
        <v>((SELECT fish_id FROM fishing.t_fish WHERE fish_name = 'Tidehaven Moony'),'Steamgill Moony','A schooling fish that releases a hot steam out of their gill to deter predators that come close to it. When the predator gets confused, it will bolt out and escape.',0.2,0.2,1.1,6,20),</v>
      </c>
    </row>
    <row r="41" spans="1:10" ht="27.6" x14ac:dyDescent="0.25">
      <c r="A41" s="12" t="s">
        <v>272</v>
      </c>
      <c r="B41" s="12" t="s">
        <v>712</v>
      </c>
      <c r="C41" s="13" t="s">
        <v>208</v>
      </c>
      <c r="D41" s="13" t="s">
        <v>198</v>
      </c>
      <c r="E41" s="13" t="s">
        <v>256</v>
      </c>
      <c r="F41" s="13">
        <v>8</v>
      </c>
      <c r="G41" s="13">
        <v>27</v>
      </c>
      <c r="H41" s="14" t="s">
        <v>716</v>
      </c>
      <c r="I41" s="3" t="str">
        <f t="shared" si="0"/>
        <v>SELECT fish_id FROM fishing.t_fish WHERE fish_name = 'Tidehaven Moony'</v>
      </c>
      <c r="J41" s="3" t="str">
        <f t="shared" si="1"/>
        <v>((SELECT fish_id FROM fishing.t_fish WHERE fish_name = 'Tidehaven Moony'),'Hog Moony','The mana inside this fish makes its scent sensory go into overdrive; it can no longer detect prey or predator, and they will attack anything that they can smell.',0.8,0.2,1.2,8,27),</v>
      </c>
    </row>
    <row r="42" spans="1:10" ht="27.6" x14ac:dyDescent="0.25">
      <c r="A42" s="12" t="s">
        <v>276</v>
      </c>
      <c r="B42" s="12" t="s">
        <v>717</v>
      </c>
      <c r="C42" s="13" t="s">
        <v>195</v>
      </c>
      <c r="D42" s="13" t="s">
        <v>213</v>
      </c>
      <c r="E42" s="13" t="s">
        <v>256</v>
      </c>
      <c r="F42" s="13" t="s">
        <v>393</v>
      </c>
      <c r="G42" s="13">
        <v>29</v>
      </c>
      <c r="H42" s="14" t="s">
        <v>718</v>
      </c>
      <c r="I42" s="3" t="str">
        <f t="shared" si="0"/>
        <v>SELECT fish_id FROM fishing.t_fish WHERE fish_name = 'Silver Moony'</v>
      </c>
      <c r="J42" s="3" t="str">
        <f t="shared" si="1"/>
        <v>((SELECT fish_id FROM fishing.t_fish WHERE fish_name = 'Silver Moony'),'Bladedfin Moony','Its fin evolves into a sharp blade like a knife. This fish surrounds its prey and slowly slashes them, and eats the chunks that fly out.',0.4,0.1,1.2,5.2,29),</v>
      </c>
    </row>
    <row r="43" spans="1:10" ht="27.6" x14ac:dyDescent="0.25">
      <c r="A43" s="12" t="s">
        <v>276</v>
      </c>
      <c r="B43" s="12" t="s">
        <v>715</v>
      </c>
      <c r="C43" s="13" t="s">
        <v>214</v>
      </c>
      <c r="D43" s="13" t="s">
        <v>198</v>
      </c>
      <c r="E43" s="13" t="s">
        <v>28</v>
      </c>
      <c r="F43" s="13">
        <v>6</v>
      </c>
      <c r="G43" s="13">
        <v>30</v>
      </c>
      <c r="H43" s="14" t="s">
        <v>742</v>
      </c>
      <c r="I43" s="3" t="str">
        <f t="shared" si="0"/>
        <v>SELECT fish_id FROM fishing.t_fish WHERE fish_name = 'Silver Moony'</v>
      </c>
      <c r="J43" s="3" t="str">
        <f t="shared" si="1"/>
        <v>((SELECT fish_id FROM fishing.t_fish WHERE fish_name = 'Silver Moony'),'Radiance Moony','This fish can generate light by manipulating mana inside of them when they feel threatened and hunting. They will surround their prey and then eat them when paralyzed.',0.6,0.2,1.5,6,30),</v>
      </c>
    </row>
    <row r="44" spans="1:10" ht="27.6" x14ac:dyDescent="0.25">
      <c r="A44" s="12" t="s">
        <v>402</v>
      </c>
      <c r="B44" s="12" t="s">
        <v>721</v>
      </c>
      <c r="C44" s="13" t="s">
        <v>27</v>
      </c>
      <c r="D44" s="13">
        <v>2</v>
      </c>
      <c r="E44" s="13">
        <v>10</v>
      </c>
      <c r="F44" s="13">
        <v>21</v>
      </c>
      <c r="G44" s="13">
        <v>97</v>
      </c>
      <c r="H44" s="14" t="s">
        <v>722</v>
      </c>
      <c r="I44" s="3" t="str">
        <f t="shared" si="0"/>
        <v>SELECT fish_id FROM fishing.t_fish WHERE fish_name = 'Striped Mullet'</v>
      </c>
      <c r="J44" s="3" t="str">
        <f t="shared" si="1"/>
        <v>((SELECT fish_id FROM fishing.t_fish WHERE fish_name = 'Striped Mullet'),'Paunch Mullet','Its brain has been manipulated so much by mana that it can't feel full anymore, it will keep eating until its belly bursts.',0.5,2,10,21,97),</v>
      </c>
    </row>
    <row r="45" spans="1:10" ht="27.6" x14ac:dyDescent="0.25">
      <c r="A45" s="12" t="s">
        <v>402</v>
      </c>
      <c r="B45" s="12" t="s">
        <v>720</v>
      </c>
      <c r="C45" s="13" t="s">
        <v>27</v>
      </c>
      <c r="D45" s="13" t="s">
        <v>719</v>
      </c>
      <c r="E45" s="13">
        <v>9</v>
      </c>
      <c r="F45" s="13">
        <v>25</v>
      </c>
      <c r="G45" s="13">
        <v>110</v>
      </c>
      <c r="H45" s="14" t="s">
        <v>743</v>
      </c>
      <c r="I45" s="3" t="str">
        <f t="shared" si="0"/>
        <v>SELECT fish_id FROM fishing.t_fish WHERE fish_name = 'Striped Mullet'</v>
      </c>
      <c r="J45" s="3" t="str">
        <f t="shared" si="1"/>
        <v>((SELECT fish_id FROM fishing.t_fish WHERE fish_name = 'Striped Mullet'),'Fireblood Mullet','The blood inside this fish is warmer than the surrounding water, which enables it to move even in a colder environment without any troubles.',0.5,1.6,9,25,110),</v>
      </c>
    </row>
    <row r="46" spans="1:10" ht="27.6" x14ac:dyDescent="0.25">
      <c r="A46" s="12" t="s">
        <v>352</v>
      </c>
      <c r="B46" s="12" t="s">
        <v>724</v>
      </c>
      <c r="C46" s="13" t="s">
        <v>195</v>
      </c>
      <c r="D46" s="13" t="s">
        <v>213</v>
      </c>
      <c r="E46" s="13">
        <v>1</v>
      </c>
      <c r="F46" s="13">
        <v>4</v>
      </c>
      <c r="G46" s="13">
        <v>32</v>
      </c>
      <c r="H46" s="14" t="s">
        <v>725</v>
      </c>
      <c r="I46" s="3" t="str">
        <f t="shared" si="0"/>
        <v>SELECT fish_id FROM fishing.t_fish WHERE fish_name = 'Needlefish'</v>
      </c>
      <c r="J46" s="3" t="str">
        <f t="shared" si="1"/>
        <v>((SELECT fish_id FROM fishing.t_fish WHERE fish_name = 'Needlefish'),'Leaping Needlefish','This fish has a behaviour of jumping into the air to hunt small birds that get too close to the surface of the water. Because of this, fishermen sometimes get hurt because of their sharp fin.',0.4,0.1,1,4,32),</v>
      </c>
    </row>
    <row r="47" spans="1:10" ht="27.6" x14ac:dyDescent="0.25">
      <c r="A47" s="12" t="s">
        <v>352</v>
      </c>
      <c r="B47" s="12" t="s">
        <v>723</v>
      </c>
      <c r="C47" s="13" t="s">
        <v>214</v>
      </c>
      <c r="D47" s="13" t="s">
        <v>213</v>
      </c>
      <c r="E47" s="13" t="s">
        <v>343</v>
      </c>
      <c r="F47" s="13">
        <v>4</v>
      </c>
      <c r="G47" s="13">
        <v>35</v>
      </c>
      <c r="H47" s="14" t="s">
        <v>745</v>
      </c>
      <c r="I47" s="3" t="str">
        <f t="shared" si="0"/>
        <v>SELECT fish_id FROM fishing.t_fish WHERE fish_name = 'Needlefish'</v>
      </c>
      <c r="J47" s="3" t="str">
        <f t="shared" si="1"/>
        <v>((SELECT fish_id FROM fishing.t_fish WHERE fish_name = 'Needlefish'),'Rapierfish','The jaw of this fish has evolved into a sharp point when their mouth closes, usually used by them to fight predators and their own kind for territory.',0.6,0.1,0.7,4,35),</v>
      </c>
    </row>
    <row r="48" spans="1:10" ht="27.6" x14ac:dyDescent="0.25">
      <c r="A48" s="12" t="s">
        <v>396</v>
      </c>
      <c r="B48" s="12" t="s">
        <v>728</v>
      </c>
      <c r="C48" s="13" t="s">
        <v>214</v>
      </c>
      <c r="D48" s="13" t="s">
        <v>291</v>
      </c>
      <c r="E48" s="13">
        <v>18</v>
      </c>
      <c r="F48" s="13">
        <v>50</v>
      </c>
      <c r="G48" s="13">
        <v>175</v>
      </c>
      <c r="H48" s="14" t="s">
        <v>729</v>
      </c>
      <c r="I48" s="3" t="str">
        <f t="shared" si="0"/>
        <v>SELECT fish_id FROM fishing.t_fish WHERE fish_name = 'Mangrove Jack'</v>
      </c>
      <c r="J48" s="3" t="str">
        <f t="shared" si="1"/>
        <v>((SELECT fish_id FROM fishing.t_fish WHERE fish_name = 'Mangrove Jack'),'Megamouth Jack','This fish evolved to eat almost nothing but plankton, but they occasionally eat smaller fish that got suck by their mouth too.',0.6,2.5,18,50,175),</v>
      </c>
    </row>
    <row r="49" spans="1:10" ht="27.6" x14ac:dyDescent="0.25">
      <c r="A49" s="12" t="s">
        <v>396</v>
      </c>
      <c r="B49" s="12" t="s">
        <v>727</v>
      </c>
      <c r="C49" s="13" t="s">
        <v>195</v>
      </c>
      <c r="D49" s="13" t="s">
        <v>726</v>
      </c>
      <c r="E49" s="13">
        <v>27</v>
      </c>
      <c r="F49" s="13">
        <v>80</v>
      </c>
      <c r="G49" s="13">
        <v>200</v>
      </c>
      <c r="H49" s="14" t="s">
        <v>746</v>
      </c>
      <c r="I49" s="3" t="str">
        <f t="shared" si="0"/>
        <v>SELECT fish_id FROM fishing.t_fish WHERE fish_name = 'Mangrove Jack'</v>
      </c>
      <c r="J49" s="3" t="str">
        <f t="shared" si="1"/>
        <v>((SELECT fish_id FROM fishing.t_fish WHERE fish_name = 'Mangrove Jack'),'Giant Mangrove Jack','Mana exposure causes this fish to grow bigger and bigger; the more condensed the mana around their habitat, the bigger it gets.',0.4,4.6,27,80,200),</v>
      </c>
    </row>
    <row r="50" spans="1:10" ht="27.6" x14ac:dyDescent="0.25">
      <c r="A50" s="12" t="s">
        <v>33</v>
      </c>
      <c r="B50" s="12" t="s">
        <v>731</v>
      </c>
      <c r="C50" s="13" t="s">
        <v>195</v>
      </c>
      <c r="D50" s="13">
        <v>5</v>
      </c>
      <c r="E50" s="13">
        <v>16</v>
      </c>
      <c r="F50" s="13">
        <v>32</v>
      </c>
      <c r="G50" s="13">
        <v>90</v>
      </c>
      <c r="H50" s="14" t="s">
        <v>732</v>
      </c>
      <c r="I50" s="3" t="str">
        <f t="shared" si="0"/>
        <v>SELECT fish_id FROM fishing.t_fish WHERE fish_name = 'Common Bream'</v>
      </c>
      <c r="J50" s="3" t="str">
        <f t="shared" si="1"/>
        <v>((SELECT fish_id FROM fishing.t_fish WHERE fish_name = 'Common Bream'),'Bronze-skin Bream','Its skin becomes hard as bronze; some smiths even use it as an alternative to real bronze. But, this fish skin is thinner than bronze, making the tools that use the skin easier to break.',0.4,5,16,32,90),</v>
      </c>
    </row>
    <row r="51" spans="1:10" ht="27.6" x14ac:dyDescent="0.25">
      <c r="A51" s="12" t="s">
        <v>33</v>
      </c>
      <c r="B51" s="12" t="s">
        <v>730</v>
      </c>
      <c r="C51" s="13" t="s">
        <v>214</v>
      </c>
      <c r="D51" s="13">
        <v>6</v>
      </c>
      <c r="E51" s="13">
        <v>15</v>
      </c>
      <c r="F51" s="13">
        <v>25</v>
      </c>
      <c r="G51" s="13">
        <v>95</v>
      </c>
      <c r="H51" s="14" t="s">
        <v>744</v>
      </c>
      <c r="I51" s="3" t="str">
        <f t="shared" si="0"/>
        <v>SELECT fish_id FROM fishing.t_fish WHERE fish_name = 'Common Bream'</v>
      </c>
      <c r="J51" s="3" t="str">
        <f t="shared" si="1"/>
        <v>((SELECT fish_id FROM fishing.t_fish WHERE fish_name = 'Common Bream'),'Whiptail Bream','The tail elongated into a whip-like appendage that provided excellent maneuverability, allowing it to make a sudden change in its trajectory while chasing prey or escaping from predators.',0.6,6,15,25,95),</v>
      </c>
    </row>
    <row r="52" spans="1:10" ht="27.6" x14ac:dyDescent="0.25">
      <c r="A52" s="12" t="s">
        <v>170</v>
      </c>
      <c r="B52" s="12" t="s">
        <v>747</v>
      </c>
      <c r="C52" s="13" t="s">
        <v>208</v>
      </c>
      <c r="D52" s="13">
        <v>2</v>
      </c>
      <c r="E52" s="13">
        <v>5</v>
      </c>
      <c r="F52" s="13" t="s">
        <v>174</v>
      </c>
      <c r="G52" s="13" t="s">
        <v>283</v>
      </c>
      <c r="H52" s="14" t="s">
        <v>748</v>
      </c>
      <c r="I52" s="3" t="str">
        <f t="shared" si="0"/>
        <v>SELECT fish_id FROM fishing.t_fish WHERE fish_name = 'White Bream'</v>
      </c>
      <c r="J52" s="3" t="str">
        <f t="shared" si="1"/>
        <v>((SELECT fish_id FROM fishing.t_fish WHERE fish_name = 'White Bream'),'Rock-body Bream','Mana inside its body makes this fish's body hard as a rock; not only that, their body also weighs as heavy as a rock, which makes the fish almost incapable of swimming for too long.',0.8,2,5,4.5,7.5),</v>
      </c>
    </row>
    <row r="53" spans="1:10" ht="27.6" x14ac:dyDescent="0.25">
      <c r="A53" s="12" t="s">
        <v>170</v>
      </c>
      <c r="B53" s="12" t="s">
        <v>941</v>
      </c>
      <c r="C53" s="13" t="s">
        <v>198</v>
      </c>
      <c r="D53" s="13" t="s">
        <v>27</v>
      </c>
      <c r="E53" s="13" t="s">
        <v>291</v>
      </c>
      <c r="F53" s="13">
        <v>4</v>
      </c>
      <c r="G53" s="13">
        <v>8</v>
      </c>
      <c r="H53" s="14" t="s">
        <v>942</v>
      </c>
      <c r="I53" s="3" t="str">
        <f t="shared" si="0"/>
        <v>SELECT fish_id FROM fishing.t_fish WHERE fish_name = 'White Bream'</v>
      </c>
      <c r="J53" s="3" t="str">
        <f t="shared" si="1"/>
        <v>((SELECT fish_id FROM fishing.t_fish WHERE fish_name = 'White Bream'),'Glass Bream','The mana circulating in its body makes the body of this bream nearly glass-like, making it hard for predators and even potential mates to see each other.',0.2,0.5,2.5,4,8),</v>
      </c>
    </row>
    <row r="54" spans="1:10" ht="27.6" x14ac:dyDescent="0.25">
      <c r="A54" s="12" t="s">
        <v>187</v>
      </c>
      <c r="B54" s="12" t="s">
        <v>750</v>
      </c>
      <c r="C54" s="13" t="s">
        <v>213</v>
      </c>
      <c r="D54" s="13" t="s">
        <v>208</v>
      </c>
      <c r="E54" s="13" t="s">
        <v>400</v>
      </c>
      <c r="F54" s="13">
        <v>17</v>
      </c>
      <c r="G54" s="13">
        <v>52</v>
      </c>
      <c r="H54" s="14" t="s">
        <v>753</v>
      </c>
      <c r="I54" s="3" t="str">
        <f t="shared" si="0"/>
        <v>SELECT fish_id FROM fishing.t_fish WHERE fish_name = 'Vimba Bream'</v>
      </c>
      <c r="J54" s="3" t="str">
        <f t="shared" si="1"/>
        <v>((SELECT fish_id FROM fishing.t_fish WHERE fish_name = 'Vimba Bream'),'Chirping Bream','Fishermen claim that at night, Nøkken will make a chirping sound to lure them into deeper water, until one day a scholar catches a fish that continues to chirp even when out of the water.',0.1,0.8,2.3,17,52),</v>
      </c>
    </row>
    <row r="55" spans="1:10" ht="41.4" x14ac:dyDescent="0.25">
      <c r="A55" s="12" t="s">
        <v>187</v>
      </c>
      <c r="B55" s="12" t="s">
        <v>749</v>
      </c>
      <c r="C55" s="13" t="s">
        <v>201</v>
      </c>
      <c r="D55" s="13" t="s">
        <v>27</v>
      </c>
      <c r="E55" s="13" t="s">
        <v>291</v>
      </c>
      <c r="F55" s="13">
        <v>10</v>
      </c>
      <c r="G55" s="13">
        <v>40</v>
      </c>
      <c r="H55" s="14" t="s">
        <v>767</v>
      </c>
      <c r="I55" s="3" t="str">
        <f t="shared" si="0"/>
        <v>SELECT fish_id FROM fishing.t_fish WHERE fish_name = 'Vimba Bream'</v>
      </c>
      <c r="J55" s="3" t="str">
        <f t="shared" si="1"/>
        <v>((SELECT fish_id FROM fishing.t_fish WHERE fish_name = 'Vimba Bream'),'Trance Bream','Exposure to mana makes this fish unable to swim sometimes, and the older it gets, the weirder its behavior. Some fishermen even claim that they saw some fish come to the surface and remain motionless for hours.',0.9,0.5,2.5,10,40),</v>
      </c>
    </row>
    <row r="56" spans="1:10" ht="27.6" x14ac:dyDescent="0.25">
      <c r="A56" s="12" t="s">
        <v>185</v>
      </c>
      <c r="B56" s="12" t="s">
        <v>755</v>
      </c>
      <c r="C56" s="13" t="s">
        <v>205</v>
      </c>
      <c r="D56" s="13" t="s">
        <v>637</v>
      </c>
      <c r="E56" s="13" t="s">
        <v>756</v>
      </c>
      <c r="F56" s="13">
        <v>19</v>
      </c>
      <c r="G56" s="13">
        <v>49</v>
      </c>
      <c r="H56" s="14" t="s">
        <v>776</v>
      </c>
      <c r="I56" s="3" t="str">
        <f t="shared" si="0"/>
        <v>SELECT fish_id FROM fishing.t_fish WHERE fish_name = 'Blue Bream'</v>
      </c>
      <c r="J56" s="3" t="str">
        <f t="shared" si="1"/>
        <v>((SELECT fish_id FROM fishing.t_fish WHERE fish_name = 'Blue Bream'),'Icy Blue Bream','This fish has a lower body temperature than other fish, making it sluggish in colder water; even in warmer water, it will move slowly.',0.3,1.7,4.9,19,49),</v>
      </c>
    </row>
    <row r="57" spans="1:10" ht="27.6" x14ac:dyDescent="0.25">
      <c r="A57" s="12" t="s">
        <v>185</v>
      </c>
      <c r="B57" s="12" t="s">
        <v>754</v>
      </c>
      <c r="C57" s="13" t="s">
        <v>343</v>
      </c>
      <c r="D57" s="13">
        <v>2</v>
      </c>
      <c r="E57" s="13">
        <v>6</v>
      </c>
      <c r="F57" s="13">
        <v>28</v>
      </c>
      <c r="G57" s="13">
        <v>60</v>
      </c>
      <c r="H57" s="14" t="s">
        <v>856</v>
      </c>
      <c r="I57" s="3" t="str">
        <f t="shared" si="0"/>
        <v>SELECT fish_id FROM fishing.t_fish WHERE fish_name = 'Blue Bream'</v>
      </c>
      <c r="J57" s="3" t="str">
        <f t="shared" si="1"/>
        <v>((SELECT fish_id FROM fishing.t_fish WHERE fish_name = 'Blue Bream'),'Sharkfin Bream','The upper fin of this bream becomes hard, almost like a shark fin, making it excel at sudden turn when swimming from predators.',0.7,2,6,28,60),</v>
      </c>
    </row>
    <row r="58" spans="1:10" ht="27.6" x14ac:dyDescent="0.25">
      <c r="A58" s="12" t="s">
        <v>13</v>
      </c>
      <c r="B58" s="12" t="s">
        <v>761</v>
      </c>
      <c r="C58" s="13" t="s">
        <v>195</v>
      </c>
      <c r="D58" s="13">
        <v>7</v>
      </c>
      <c r="E58" s="13" t="s">
        <v>759</v>
      </c>
      <c r="F58" s="13" t="s">
        <v>760</v>
      </c>
      <c r="G58" s="13">
        <v>125</v>
      </c>
      <c r="H58" s="14" t="s">
        <v>762</v>
      </c>
      <c r="I58" s="3" t="str">
        <f t="shared" si="0"/>
        <v>SELECT fish_id FROM fishing.t_fish WHERE fish_name = 'Common Carp'</v>
      </c>
      <c r="J58" s="3" t="str">
        <f t="shared" si="1"/>
        <v>((SELECT fish_id FROM fishing.t_fish WHERE fish_name = 'Common Carp'),'Glowing Heart Carp','Mana circulation made this carp's heart glow, it makes hunting at night easier and harder to escaping the predators.',0.4,7,45.5,42.5,125),</v>
      </c>
    </row>
    <row r="59" spans="1:10" ht="27.6" x14ac:dyDescent="0.25">
      <c r="A59" s="12" t="s">
        <v>13</v>
      </c>
      <c r="B59" s="12" t="s">
        <v>758</v>
      </c>
      <c r="C59" s="13" t="s">
        <v>214</v>
      </c>
      <c r="D59" s="13">
        <v>8</v>
      </c>
      <c r="E59" s="13">
        <v>50</v>
      </c>
      <c r="F59" s="13">
        <v>45</v>
      </c>
      <c r="G59" s="13">
        <v>120</v>
      </c>
      <c r="H59" s="14" t="s">
        <v>757</v>
      </c>
      <c r="I59" s="3" t="str">
        <f t="shared" si="0"/>
        <v>SELECT fish_id FROM fishing.t_fish WHERE fish_name = 'Common Carp'</v>
      </c>
      <c r="J59" s="3" t="str">
        <f t="shared" si="1"/>
        <v>((SELECT fish_id FROM fishing.t_fish WHERE fish_name = 'Common Carp'),'Widemouth Carp','This carp can open its mouth so wide that it almost eats almost all its prey whole. Because of this, its mouth sometimes gets ripped from overextension.',0.6,8,50,45,120),</v>
      </c>
    </row>
    <row r="60" spans="1:10" ht="27.6" x14ac:dyDescent="0.25">
      <c r="A60" s="12" t="s">
        <v>146</v>
      </c>
      <c r="B60" s="12" t="s">
        <v>765</v>
      </c>
      <c r="C60" s="13" t="s">
        <v>195</v>
      </c>
      <c r="D60" s="13">
        <v>6</v>
      </c>
      <c r="E60" s="13">
        <v>48</v>
      </c>
      <c r="F60" s="13">
        <v>22</v>
      </c>
      <c r="G60" s="13">
        <v>105</v>
      </c>
      <c r="H60" s="14" t="s">
        <v>766</v>
      </c>
      <c r="I60" s="3" t="str">
        <f t="shared" si="0"/>
        <v>SELECT fish_id FROM fishing.t_fish WHERE fish_name = 'Grass Carp'</v>
      </c>
      <c r="J60" s="3" t="str">
        <f t="shared" si="1"/>
        <v>((SELECT fish_id FROM fishing.t_fish WHERE fish_name = 'Grass Carp'),'Glassbone Carp','The bone in this carp is so brittle that even the lightest drop will break all of its bones. It makes this carp swim so slowly and become more passive.',0.4,6,48,22,105),</v>
      </c>
    </row>
    <row r="61" spans="1:10" ht="27.6" x14ac:dyDescent="0.25">
      <c r="A61" s="12" t="s">
        <v>146</v>
      </c>
      <c r="B61" s="12" t="s">
        <v>763</v>
      </c>
      <c r="C61" s="13" t="s">
        <v>214</v>
      </c>
      <c r="D61" s="13">
        <v>7</v>
      </c>
      <c r="E61" s="13">
        <v>50</v>
      </c>
      <c r="F61" s="13">
        <v>25</v>
      </c>
      <c r="G61" s="13">
        <v>100</v>
      </c>
      <c r="H61" s="14" t="s">
        <v>764</v>
      </c>
      <c r="I61" s="3" t="str">
        <f t="shared" si="0"/>
        <v>SELECT fish_id FROM fishing.t_fish WHERE fish_name = 'Grass Carp'</v>
      </c>
      <c r="J61" s="3" t="str">
        <f t="shared" si="1"/>
        <v>((SELECT fish_id FROM fishing.t_fish WHERE fish_name = 'Grass Carp'),'Hairy Grass Carp','Hair like thorns covered this carp's body, which helped the carp to camouflage itself between the grass or algae below the water. ',0.6,7,50,25,100),</v>
      </c>
    </row>
    <row r="62" spans="1:10" ht="27.6" x14ac:dyDescent="0.25">
      <c r="A62" s="12" t="s">
        <v>152</v>
      </c>
      <c r="B62" s="12" t="s">
        <v>770</v>
      </c>
      <c r="C62" s="13" t="s">
        <v>27</v>
      </c>
      <c r="D62" s="13">
        <v>4</v>
      </c>
      <c r="E62" s="13">
        <v>9</v>
      </c>
      <c r="F62" s="13">
        <v>22</v>
      </c>
      <c r="G62" s="13">
        <v>76</v>
      </c>
      <c r="H62" s="14" t="s">
        <v>798</v>
      </c>
      <c r="I62" s="3" t="str">
        <f t="shared" si="0"/>
        <v>SELECT fish_id FROM fishing.t_fish WHERE fish_name = 'Mud Carp'</v>
      </c>
      <c r="J62" s="3" t="str">
        <f t="shared" si="1"/>
        <v>((SELECT fish_id FROM fishing.t_fish WHERE fish_name = 'Mud Carp'),'Jumping Mud Carp','The fins have been reinforced by mana, allowing this carp to support its entire body out of the water and move from one body of water to another.',0.5,4,9,22,76),</v>
      </c>
    </row>
    <row r="63" spans="1:10" ht="27.6" x14ac:dyDescent="0.25">
      <c r="A63" s="12" t="s">
        <v>152</v>
      </c>
      <c r="B63" s="12" t="s">
        <v>769</v>
      </c>
      <c r="C63" s="13" t="s">
        <v>27</v>
      </c>
      <c r="D63" s="13">
        <v>3</v>
      </c>
      <c r="E63" s="13">
        <v>7</v>
      </c>
      <c r="F63" s="13">
        <v>25</v>
      </c>
      <c r="G63" s="13">
        <v>80</v>
      </c>
      <c r="H63" s="14" t="s">
        <v>807</v>
      </c>
      <c r="I63" s="3" t="str">
        <f t="shared" si="0"/>
        <v>SELECT fish_id FROM fishing.t_fish WHERE fish_name = 'Mud Carp'</v>
      </c>
      <c r="J63" s="3" t="str">
        <f t="shared" si="1"/>
        <v>((SELECT fish_id FROM fishing.t_fish WHERE fish_name = 'Mud Carp'),'Stone Carp','Scholars are still unsure how the fish covers itself and rolls into a ball during droughts, and some even suggest that the carp uses mana to cover itself.',0.5,3,7,25,80),</v>
      </c>
    </row>
    <row r="64" spans="1:10" ht="27.6" x14ac:dyDescent="0.25">
      <c r="A64" s="12" t="s">
        <v>19</v>
      </c>
      <c r="B64" s="12" t="s">
        <v>772</v>
      </c>
      <c r="C64" s="13" t="s">
        <v>214</v>
      </c>
      <c r="D64" s="13">
        <v>3</v>
      </c>
      <c r="E64" s="13">
        <v>15</v>
      </c>
      <c r="F64" s="13">
        <v>12</v>
      </c>
      <c r="G64" s="13">
        <v>90</v>
      </c>
      <c r="H64" s="14" t="s">
        <v>773</v>
      </c>
      <c r="I64" s="3" t="str">
        <f t="shared" si="0"/>
        <v>SELECT fish_id FROM fishing.t_fish WHERE fish_name = 'Mrigal Carp'</v>
      </c>
      <c r="J64" s="3" t="str">
        <f t="shared" si="1"/>
        <v>((SELECT fish_id FROM fishing.t_fish WHERE fish_name = 'Mrigal Carp'),'Fanged Carp','Its mouth is covered with a lot of sharp teeth, and it can even chew through the wood of the boat that fishermen use.',0.6,3,15,12,90),</v>
      </c>
    </row>
    <row r="65" spans="1:10" ht="27.6" x14ac:dyDescent="0.25">
      <c r="A65" s="12" t="s">
        <v>19</v>
      </c>
      <c r="B65" s="12" t="s">
        <v>771</v>
      </c>
      <c r="C65" s="13" t="s">
        <v>195</v>
      </c>
      <c r="D65" s="13">
        <v>5</v>
      </c>
      <c r="E65" s="13">
        <v>25</v>
      </c>
      <c r="F65" s="13">
        <v>17</v>
      </c>
      <c r="G65" s="13">
        <v>125</v>
      </c>
      <c r="H65" s="14" t="s">
        <v>808</v>
      </c>
      <c r="I65" s="3" t="str">
        <f t="shared" si="0"/>
        <v>SELECT fish_id FROM fishing.t_fish WHERE fish_name = 'Mrigal Carp'</v>
      </c>
      <c r="J65" s="3" t="str">
        <f t="shared" si="1"/>
        <v>((SELECT fish_id FROM fishing.t_fish WHERE fish_name = 'Mrigal Carp'),'Arrow Carp','Its streamlined body has evolved into something akin to an arrow, allowing it to swim so fast, even against a strong current.',0.4,5,25,17,125),</v>
      </c>
    </row>
    <row r="66" spans="1:10" ht="27.6" x14ac:dyDescent="0.25">
      <c r="A66" s="12" t="s">
        <v>16</v>
      </c>
      <c r="B66" s="12" t="s">
        <v>775</v>
      </c>
      <c r="C66" s="13" t="s">
        <v>27</v>
      </c>
      <c r="D66" s="13">
        <v>8</v>
      </c>
      <c r="E66" s="13">
        <v>55</v>
      </c>
      <c r="F66" s="13">
        <v>37</v>
      </c>
      <c r="G66" s="13">
        <v>100</v>
      </c>
      <c r="H66" s="14" t="s">
        <v>857</v>
      </c>
      <c r="I66" s="3" t="str">
        <f t="shared" si="0"/>
        <v>SELECT fish_id FROM fishing.t_fish WHERE fish_name = 'Silver Carp'</v>
      </c>
      <c r="J66" s="3" t="str">
        <f t="shared" si="1"/>
        <v>((SELECT fish_id FROM fishing.t_fish WHERE fish_name = 'Silver Carp'),'Sailtail Carp','The upper fin grows until the end of its tail. This sail-like upper fin is used to make a barrier when it circles the fish.',0.5,8,55,37,100),</v>
      </c>
    </row>
    <row r="67" spans="1:10" ht="27.6" x14ac:dyDescent="0.25">
      <c r="A67" s="12" t="s">
        <v>16</v>
      </c>
      <c r="B67" s="12" t="s">
        <v>774</v>
      </c>
      <c r="C67" s="13" t="s">
        <v>27</v>
      </c>
      <c r="D67" s="13">
        <v>8</v>
      </c>
      <c r="E67" s="13">
        <v>60</v>
      </c>
      <c r="F67" s="13">
        <v>40</v>
      </c>
      <c r="G67" s="13">
        <v>120</v>
      </c>
      <c r="H67" s="14" t="s">
        <v>799</v>
      </c>
      <c r="I67" s="3" t="str">
        <f t="shared" ref="I67:I130" si="2">_xlfn.CONCAT("SELECT fish_id FROM fishing.t_fish WHERE fish_name = '",A67,"'")</f>
        <v>SELECT fish_id FROM fishing.t_fish WHERE fish_name = 'Silver Carp'</v>
      </c>
      <c r="J67" s="3" t="str">
        <f t="shared" ref="J67:J130" si="3">_xlfn.CONCAT("((",I67,"),","'",B67,"',","'",H67,"',",C67,",",D67,",",E67,",",F67,",",G67,"),")</f>
        <v>((SELECT fish_id FROM fishing.t_fish WHERE fish_name = 'Silver Carp'),'Twin Horned Carp','This carp leaps out of the water whenever it gets startled, the mana inside its body making it hyper aware.',0.5,8,60,40,120),</v>
      </c>
    </row>
    <row r="68" spans="1:10" ht="27.6" x14ac:dyDescent="0.25">
      <c r="A68" s="12" t="s">
        <v>148</v>
      </c>
      <c r="B68" s="12" t="s">
        <v>778</v>
      </c>
      <c r="C68" s="13" t="s">
        <v>195</v>
      </c>
      <c r="D68" s="13">
        <v>7</v>
      </c>
      <c r="E68" s="13">
        <v>77</v>
      </c>
      <c r="F68" s="13">
        <v>77</v>
      </c>
      <c r="G68" s="13">
        <v>177</v>
      </c>
      <c r="H68" s="14" t="s">
        <v>800</v>
      </c>
      <c r="I68" s="3" t="str">
        <f t="shared" si="2"/>
        <v>SELECT fish_id FROM fishing.t_fish WHERE fish_name = 'Black Carp'</v>
      </c>
      <c r="J68" s="3" t="str">
        <f t="shared" si="3"/>
        <v>((SELECT fish_id FROM fishing.t_fish WHERE fish_name = 'Black Carp'),'Overgrown Carp','Scholars speculate that this type of mana-evolve carp will not stop growing as long as it keeps eating. No specimen has ever shown signs of maturity.',0.4,7,77,77,177),</v>
      </c>
    </row>
    <row r="69" spans="1:10" ht="27.6" x14ac:dyDescent="0.25">
      <c r="A69" s="12" t="s">
        <v>148</v>
      </c>
      <c r="B69" s="12" t="s">
        <v>777</v>
      </c>
      <c r="C69" s="13" t="s">
        <v>214</v>
      </c>
      <c r="D69" s="13">
        <v>8</v>
      </c>
      <c r="E69" s="13">
        <v>40</v>
      </c>
      <c r="F69" s="13">
        <v>65</v>
      </c>
      <c r="G69" s="13">
        <v>120</v>
      </c>
      <c r="H69" s="14" t="s">
        <v>801</v>
      </c>
      <c r="I69" s="3" t="str">
        <f t="shared" si="2"/>
        <v>SELECT fish_id FROM fishing.t_fish WHERE fish_name = 'Black Carp'</v>
      </c>
      <c r="J69" s="3" t="str">
        <f t="shared" si="3"/>
        <v>((SELECT fish_id FROM fishing.t_fish WHERE fish_name = 'Black Carp'),'Obsidian Carp','Its skin glows magnificently under the moonlight, and when underwater, this fish is nearly invisible beneath the moonlit surface, making it a great predator.',0.6,8,40,65,120),</v>
      </c>
    </row>
    <row r="70" spans="1:10" ht="27.6" x14ac:dyDescent="0.25">
      <c r="A70" s="12" t="s">
        <v>150</v>
      </c>
      <c r="B70" s="12" t="s">
        <v>780</v>
      </c>
      <c r="C70" s="13" t="s">
        <v>205</v>
      </c>
      <c r="D70" s="13">
        <v>10</v>
      </c>
      <c r="E70" s="13">
        <v>50</v>
      </c>
      <c r="F70" s="13">
        <v>55</v>
      </c>
      <c r="G70" s="13">
        <v>125</v>
      </c>
      <c r="H70" s="14" t="s">
        <v>789</v>
      </c>
      <c r="I70" s="3" t="str">
        <f t="shared" si="2"/>
        <v>SELECT fish_id FROM fishing.t_fish WHERE fish_name = 'Bighead Carp'</v>
      </c>
      <c r="J70" s="3" t="str">
        <f t="shared" si="3"/>
        <v>((SELECT fish_id FROM fishing.t_fish WHERE fish_name = 'Bighead Carp'),'Insatiable Carp','This voracious fish will eat anything that they can, whether it is fish, shellfish, or even an insect that has drowned until its die.',0.3,10,50,55,125),</v>
      </c>
    </row>
    <row r="71" spans="1:10" ht="27.6" x14ac:dyDescent="0.25">
      <c r="A71" s="12" t="s">
        <v>150</v>
      </c>
      <c r="B71" s="12" t="s">
        <v>779</v>
      </c>
      <c r="C71" s="13" t="s">
        <v>343</v>
      </c>
      <c r="D71" s="13">
        <v>12</v>
      </c>
      <c r="E71" s="13">
        <v>62</v>
      </c>
      <c r="F71" s="13">
        <v>42</v>
      </c>
      <c r="G71" s="13">
        <v>162</v>
      </c>
      <c r="H71" s="14" t="s">
        <v>793</v>
      </c>
      <c r="I71" s="3" t="str">
        <f t="shared" si="2"/>
        <v>SELECT fish_id FROM fishing.t_fish WHERE fish_name = 'Bighead Carp'</v>
      </c>
      <c r="J71" s="3" t="str">
        <f t="shared" si="3"/>
        <v>((SELECT fish_id FROM fishing.t_fish WHERE fish_name = 'Bighead Carp'),'Humphead Carp','The head of this fish becomes so big that it will block its eyes, and the inside of the hump is filled with mucus and water.',0.7,12,62,42,162),</v>
      </c>
    </row>
    <row r="72" spans="1:10" ht="27.6" x14ac:dyDescent="0.25">
      <c r="A72" s="12" t="s">
        <v>324</v>
      </c>
      <c r="B72" s="12" t="s">
        <v>783</v>
      </c>
      <c r="C72" s="13" t="s">
        <v>195</v>
      </c>
      <c r="D72" s="13">
        <v>2</v>
      </c>
      <c r="E72" s="13">
        <v>15</v>
      </c>
      <c r="F72" s="13">
        <v>10</v>
      </c>
      <c r="G72" s="13">
        <v>30</v>
      </c>
      <c r="H72" s="14" t="s">
        <v>805</v>
      </c>
      <c r="I72" s="3" t="str">
        <f t="shared" si="2"/>
        <v>SELECT fish_id FROM fishing.t_fish WHERE fish_name = 'Giant River Carp'</v>
      </c>
      <c r="J72" s="3" t="str">
        <f t="shared" si="3"/>
        <v>((SELECT fish_id FROM fishing.t_fish WHERE fish_name = 'Giant River Carp'),'Dwarf Carp','The food that gets inside this fish becomes fuel for the mana reservoir rather than its body, making its body smaller over time.',0.4,2,15,10,30),</v>
      </c>
    </row>
    <row r="73" spans="1:10" ht="41.4" x14ac:dyDescent="0.25">
      <c r="A73" s="12" t="s">
        <v>324</v>
      </c>
      <c r="B73" s="12" t="s">
        <v>781</v>
      </c>
      <c r="C73" s="13" t="s">
        <v>214</v>
      </c>
      <c r="D73" s="13">
        <v>40</v>
      </c>
      <c r="E73" s="13">
        <v>200</v>
      </c>
      <c r="F73" s="13">
        <v>90</v>
      </c>
      <c r="G73" s="13">
        <v>300</v>
      </c>
      <c r="H73" s="14" t="s">
        <v>782</v>
      </c>
      <c r="I73" s="3" t="str">
        <f t="shared" si="2"/>
        <v>SELECT fish_id FROM fishing.t_fish WHERE fish_name = 'Giant River Carp'</v>
      </c>
      <c r="J73" s="3" t="str">
        <f t="shared" si="3"/>
        <v>((SELECT fish_id FROM fishing.t_fish WHERE fish_name = 'Giant River Carp'),'Monstrous Carp','A tale in a nearby village tells a story of boogeymen snatching and gobbling up children whenever they go to murky water. Some scholars suggested that maybe this fish is the one responsible for the missing children.',0.6,40,200,90,300),</v>
      </c>
    </row>
    <row r="74" spans="1:10" ht="27.6" x14ac:dyDescent="0.25">
      <c r="A74" s="12" t="s">
        <v>155</v>
      </c>
      <c r="B74" s="12" t="s">
        <v>786</v>
      </c>
      <c r="C74" s="13" t="s">
        <v>198</v>
      </c>
      <c r="D74" s="13" t="s">
        <v>28</v>
      </c>
      <c r="E74" s="13" t="s">
        <v>283</v>
      </c>
      <c r="F74" s="13" t="s">
        <v>383</v>
      </c>
      <c r="G74" s="13">
        <v>30</v>
      </c>
      <c r="H74" s="14" t="s">
        <v>802</v>
      </c>
      <c r="I74" s="3" t="str">
        <f t="shared" si="2"/>
        <v>SELECT fish_id FROM fishing.t_fish WHERE fish_name = 'Gibel Carp'</v>
      </c>
      <c r="J74" s="3" t="str">
        <f t="shared" si="3"/>
        <v>((SELECT fish_id FROM fishing.t_fish WHERE fish_name = 'Gibel Carp'),'Scarred Carp','The pattern on its body is a sign of mana constantly escape though its body; the excessive mana inside its body prevent its to swim.',0.2,1.5,7.5,12.5,30),</v>
      </c>
    </row>
    <row r="75" spans="1:10" ht="27.6" x14ac:dyDescent="0.25">
      <c r="A75" s="12" t="s">
        <v>155</v>
      </c>
      <c r="B75" s="12" t="s">
        <v>784</v>
      </c>
      <c r="C75" s="13" t="s">
        <v>208</v>
      </c>
      <c r="D75" s="13">
        <v>1</v>
      </c>
      <c r="E75" s="13">
        <v>4</v>
      </c>
      <c r="F75" s="13">
        <v>7</v>
      </c>
      <c r="G75" s="13">
        <v>20</v>
      </c>
      <c r="H75" s="14" t="s">
        <v>785</v>
      </c>
      <c r="I75" s="3" t="str">
        <f t="shared" si="2"/>
        <v>SELECT fish_id FROM fishing.t_fish WHERE fish_name = 'Gibel Carp'</v>
      </c>
      <c r="J75" s="3" t="str">
        <f t="shared" si="3"/>
        <v>((SELECT fish_id FROM fishing.t_fish WHERE fish_name = 'Gibel Carp'),'Rat Carp','This fish got its name for its reproductive capability; the mana circulation makes this fish have a high sexual reproductivity and keeps reproducing.',0.8,1,4,7,20),</v>
      </c>
    </row>
    <row r="76" spans="1:10" ht="27.6" x14ac:dyDescent="0.25">
      <c r="A76" s="12" t="s">
        <v>157</v>
      </c>
      <c r="B76" s="12" t="s">
        <v>790</v>
      </c>
      <c r="C76" s="13" t="s">
        <v>205</v>
      </c>
      <c r="D76" s="13" t="s">
        <v>28</v>
      </c>
      <c r="E76" s="13" t="s">
        <v>174</v>
      </c>
      <c r="F76" s="13">
        <v>17</v>
      </c>
      <c r="G76" s="13">
        <v>57</v>
      </c>
      <c r="H76" s="14" t="s">
        <v>803</v>
      </c>
      <c r="I76" s="3" t="str">
        <f t="shared" si="2"/>
        <v>SELECT fish_id FROM fishing.t_fish WHERE fish_name = 'Crucian Carp'</v>
      </c>
      <c r="J76" s="3" t="str">
        <f t="shared" si="3"/>
        <v>((SELECT fish_id FROM fishing.t_fish WHERE fish_name = 'Crucian Carp'),'Snow Carp','This carp gets really active when the temperature gets low enough to have snow; when the temperature gets high, it usually stops hunting and becomes almost dormant.',0.3,1.5,4.5,17,57),</v>
      </c>
    </row>
    <row r="77" spans="1:10" ht="27.6" x14ac:dyDescent="0.25">
      <c r="A77" s="12" t="s">
        <v>157</v>
      </c>
      <c r="B77" s="12" t="s">
        <v>787</v>
      </c>
      <c r="C77" s="13" t="s">
        <v>343</v>
      </c>
      <c r="D77" s="13">
        <v>2</v>
      </c>
      <c r="E77" s="13">
        <v>6</v>
      </c>
      <c r="F77" s="13">
        <v>12</v>
      </c>
      <c r="G77" s="13">
        <v>41</v>
      </c>
      <c r="H77" s="14" t="s">
        <v>788</v>
      </c>
      <c r="I77" s="3" t="str">
        <f t="shared" si="2"/>
        <v>SELECT fish_id FROM fishing.t_fish WHERE fish_name = 'Crucian Carp'</v>
      </c>
      <c r="J77" s="3" t="str">
        <f t="shared" si="3"/>
        <v>((SELECT fish_id FROM fishing.t_fish WHERE fish_name = 'Crucian Carp'),'Gillless Carp','Scholars can't seem to agree about how this fish even breathes; some suggest that maybe it breathes through its mouth, while others argue that maybe it uses their skin to breathe.',0.7,2,6,12,41),</v>
      </c>
    </row>
    <row r="78" spans="1:10" ht="41.4" x14ac:dyDescent="0.25">
      <c r="A78" s="12" t="s">
        <v>220</v>
      </c>
      <c r="B78" s="12" t="s">
        <v>792</v>
      </c>
      <c r="C78" s="13" t="s">
        <v>195</v>
      </c>
      <c r="D78" s="13">
        <v>5</v>
      </c>
      <c r="E78" s="13">
        <v>28</v>
      </c>
      <c r="F78" s="13">
        <v>21</v>
      </c>
      <c r="G78" s="13">
        <v>110</v>
      </c>
      <c r="H78" s="14" t="s">
        <v>806</v>
      </c>
      <c r="I78" s="3" t="str">
        <f t="shared" si="2"/>
        <v>SELECT fish_id FROM fishing.t_fish WHERE fish_name = 'Channel Catfish'</v>
      </c>
      <c r="J78" s="3" t="str">
        <f t="shared" si="3"/>
        <v>((SELECT fish_id FROM fishing.t_fish WHERE fish_name = 'Channel Catfish'),'Thunder Catfish','Scholars believe this catfish can shock their prey using a specialized organ that stores mana and releases that mana as a thunderbolt-like jolt. But, after dissection, no such organ has been identified to have that kind of function.',0.4,5,28,21,110),</v>
      </c>
    </row>
    <row r="79" spans="1:10" ht="27.6" x14ac:dyDescent="0.25">
      <c r="A79" s="12" t="s">
        <v>220</v>
      </c>
      <c r="B79" s="12" t="s">
        <v>791</v>
      </c>
      <c r="C79" s="13" t="s">
        <v>214</v>
      </c>
      <c r="D79" s="13">
        <v>7</v>
      </c>
      <c r="E79" s="13">
        <v>36</v>
      </c>
      <c r="F79" s="13">
        <v>50</v>
      </c>
      <c r="G79" s="13">
        <v>160</v>
      </c>
      <c r="H79" s="14" t="s">
        <v>804</v>
      </c>
      <c r="I79" s="3" t="str">
        <f t="shared" si="2"/>
        <v>SELECT fish_id FROM fishing.t_fish WHERE fish_name = 'Channel Catfish'</v>
      </c>
      <c r="J79" s="3" t="str">
        <f t="shared" si="3"/>
        <v>((SELECT fish_id FROM fishing.t_fish WHERE fish_name = 'Channel Catfish'),'Serpentine Catfish','Its serpentine-like body sometime get mistaken for a river serpent; It even behaves like one, swallowing its prey whole, even if the fish is big.',0.6,7,36,50,160),</v>
      </c>
    </row>
    <row r="80" spans="1:10" ht="27.6" x14ac:dyDescent="0.25">
      <c r="A80" s="12" t="s">
        <v>246</v>
      </c>
      <c r="B80" s="12" t="s">
        <v>796</v>
      </c>
      <c r="C80" s="13" t="s">
        <v>343</v>
      </c>
      <c r="D80" s="13">
        <v>20</v>
      </c>
      <c r="E80" s="13">
        <v>75</v>
      </c>
      <c r="F80" s="13">
        <v>15</v>
      </c>
      <c r="G80" s="13">
        <v>75</v>
      </c>
      <c r="H80" s="14" t="s">
        <v>797</v>
      </c>
      <c r="I80" s="3" t="str">
        <f t="shared" si="2"/>
        <v>SELECT fish_id FROM fishing.t_fish WHERE fish_name = 'Bengawan Giant Catfish'</v>
      </c>
      <c r="J80" s="3" t="str">
        <f t="shared" si="3"/>
        <v>((SELECT fish_id FROM fishing.t_fish WHERE fish_name = 'Bengawan Giant Catfish'),'Hunter Catfish','This catfish is infamous for its persistent of chasing its prey. Fishermen claim that this catfish will chase its prey even after its prey has already been brought to the boat.',0.7,20,75,15,75),</v>
      </c>
    </row>
    <row r="81" spans="1:10" ht="27.6" x14ac:dyDescent="0.25">
      <c r="A81" s="12" t="s">
        <v>246</v>
      </c>
      <c r="B81" s="12" t="s">
        <v>794</v>
      </c>
      <c r="C81" s="13" t="s">
        <v>205</v>
      </c>
      <c r="D81" s="13">
        <v>45</v>
      </c>
      <c r="E81" s="13">
        <v>175</v>
      </c>
      <c r="F81" s="13">
        <v>40</v>
      </c>
      <c r="G81" s="13">
        <v>230</v>
      </c>
      <c r="H81" s="14" t="s">
        <v>795</v>
      </c>
      <c r="I81" s="3" t="str">
        <f t="shared" si="2"/>
        <v>SELECT fish_id FROM fishing.t_fish WHERE fish_name = 'Bengawan Giant Catfish'</v>
      </c>
      <c r="J81" s="3" t="str">
        <f t="shared" si="3"/>
        <v>((SELECT fish_id FROM fishing.t_fish WHERE fish_name = 'Bengawan Giant Catfish'),'Bone Plate Catfish','Bone plates occasionally grow on its body, protecting it from predator attack. This bone can be fetched for a high price, mostly used for a shield by a smith.',0.3,45,175,40,230),</v>
      </c>
    </row>
    <row r="82" spans="1:10" ht="41.4" x14ac:dyDescent="0.25">
      <c r="A82" s="12" t="s">
        <v>223</v>
      </c>
      <c r="B82" s="12" t="s">
        <v>810</v>
      </c>
      <c r="C82" s="13" t="s">
        <v>208</v>
      </c>
      <c r="D82" s="13">
        <v>8</v>
      </c>
      <c r="E82" s="13">
        <v>70</v>
      </c>
      <c r="F82" s="13">
        <v>25</v>
      </c>
      <c r="G82" s="13">
        <v>165</v>
      </c>
      <c r="H82" s="14" t="s">
        <v>849</v>
      </c>
      <c r="I82" s="3" t="str">
        <f t="shared" si="2"/>
        <v>SELECT fish_id FROM fishing.t_fish WHERE fish_name = 'Blue Catfish'</v>
      </c>
      <c r="J82" s="3" t="str">
        <f t="shared" si="3"/>
        <v>((SELECT fish_id FROM fishing.t_fish WHERE fish_name = 'Blue Catfish'),'Swift Catfish','Fishermen around Ourea claim that this fish moves abnormally when they hunt; they claim that tiny bubbles will come out of its gill and suddenly lunge forward violently without any extra movement from their tail.',0.8,8,70,25,165),</v>
      </c>
    </row>
    <row r="83" spans="1:10" ht="41.4" x14ac:dyDescent="0.25">
      <c r="A83" s="12" t="s">
        <v>223</v>
      </c>
      <c r="B83" s="12" t="s">
        <v>809</v>
      </c>
      <c r="C83" s="13" t="s">
        <v>198</v>
      </c>
      <c r="D83" s="13">
        <v>7</v>
      </c>
      <c r="E83" s="13">
        <v>60</v>
      </c>
      <c r="F83" s="13">
        <v>28</v>
      </c>
      <c r="G83" s="13">
        <v>150</v>
      </c>
      <c r="H83" s="14" t="s">
        <v>850</v>
      </c>
      <c r="I83" s="3" t="str">
        <f t="shared" si="2"/>
        <v>SELECT fish_id FROM fishing.t_fish WHERE fish_name = 'Blue Catfish'</v>
      </c>
      <c r="J83" s="3" t="str">
        <f t="shared" si="3"/>
        <v>((SELECT fish_id FROM fishing.t_fish WHERE fish_name = 'Blue Catfish'),'Lapis Lazuli Catfish','Its brilliant blue color makes this catfish a symbol of wealth among the rich families in Ourea, but because of the aggressive behavior of this fish, whenever there are two at the same time, they will attack each other.',0.2,7,60,28,150),</v>
      </c>
    </row>
    <row r="84" spans="1:10" ht="27.6" x14ac:dyDescent="0.25">
      <c r="A84" s="12" t="s">
        <v>239</v>
      </c>
      <c r="B84" s="12" t="s">
        <v>813</v>
      </c>
      <c r="C84" s="13" t="s">
        <v>205</v>
      </c>
      <c r="D84" s="13" t="s">
        <v>283</v>
      </c>
      <c r="E84" s="13">
        <v>52</v>
      </c>
      <c r="F84" s="13">
        <v>34</v>
      </c>
      <c r="G84" s="13">
        <v>155</v>
      </c>
      <c r="H84" s="14" t="s">
        <v>814</v>
      </c>
      <c r="I84" s="3" t="str">
        <f t="shared" si="2"/>
        <v>SELECT fish_id FROM fishing.t_fish WHERE fish_name = 'Flathead Catfish'</v>
      </c>
      <c r="J84" s="3" t="str">
        <f t="shared" si="3"/>
        <v>((SELECT fish_id FROM fishing.t_fish WHERE fish_name = 'Flathead Catfish'),'Log Catfish','Its body evolved to resemble a dead log underwater, allowing it to camouflage itself better when hunting or hiding from larger predators.',0.3,7.5,52,34,155),</v>
      </c>
    </row>
    <row r="85" spans="1:10" ht="27.6" x14ac:dyDescent="0.25">
      <c r="A85" s="12" t="s">
        <v>239</v>
      </c>
      <c r="B85" s="12" t="s">
        <v>811</v>
      </c>
      <c r="C85" s="13" t="s">
        <v>343</v>
      </c>
      <c r="D85" s="13">
        <v>9</v>
      </c>
      <c r="E85" s="13">
        <v>50</v>
      </c>
      <c r="F85" s="13">
        <v>30</v>
      </c>
      <c r="G85" s="13">
        <v>125</v>
      </c>
      <c r="H85" s="14" t="s">
        <v>816</v>
      </c>
      <c r="I85" s="3" t="str">
        <f t="shared" si="2"/>
        <v>SELECT fish_id FROM fishing.t_fish WHERE fish_name = 'Flathead Catfish'</v>
      </c>
      <c r="J85" s="3" t="str">
        <f t="shared" si="3"/>
        <v>((SELECT fish_id FROM fishing.t_fish WHERE fish_name = 'Flathead Catfish'),'Shovelhead Catfish','Long exposure of mana makes the head of this fish resemble a shovel; many scholar confused about why the head of this fish evolved into that shape in the first place.',0.7,9,50,30,125),</v>
      </c>
    </row>
    <row r="86" spans="1:10" ht="27.6" x14ac:dyDescent="0.25">
      <c r="A86" s="12" t="s">
        <v>241</v>
      </c>
      <c r="B86" s="12" t="s">
        <v>1079</v>
      </c>
      <c r="C86" s="13" t="s">
        <v>195</v>
      </c>
      <c r="D86" s="13">
        <v>5</v>
      </c>
      <c r="E86" s="13">
        <v>15</v>
      </c>
      <c r="F86" s="13">
        <v>15</v>
      </c>
      <c r="G86" s="13">
        <v>65</v>
      </c>
      <c r="H86" s="14" t="s">
        <v>818</v>
      </c>
      <c r="I86" s="3" t="str">
        <f t="shared" si="2"/>
        <v>SELECT fish_id FROM fishing.t_fish WHERE fish_name = 'Walking Catfish'</v>
      </c>
      <c r="J86" s="3" t="str">
        <f t="shared" si="3"/>
        <v>((SELECT fish_id FROM fishing.t_fish WHERE fish_name = 'Walking Catfish'),'Saw-teeth Catfish','Contrary to its appearance, this fish is a herbivore; its teeth are specialized in cutting tough roots underwater and some other underwater plants.',0.4,5,15,15,65),</v>
      </c>
    </row>
    <row r="87" spans="1:10" ht="41.4" x14ac:dyDescent="0.25">
      <c r="A87" s="12" t="s">
        <v>241</v>
      </c>
      <c r="B87" s="12" t="s">
        <v>815</v>
      </c>
      <c r="C87" s="13" t="s">
        <v>214</v>
      </c>
      <c r="D87" s="13">
        <v>6</v>
      </c>
      <c r="E87" s="13">
        <v>20</v>
      </c>
      <c r="F87" s="13">
        <v>10</v>
      </c>
      <c r="G87" s="13">
        <v>60</v>
      </c>
      <c r="H87" s="14" t="s">
        <v>817</v>
      </c>
      <c r="I87" s="3" t="str">
        <f t="shared" si="2"/>
        <v>SELECT fish_id FROM fishing.t_fish WHERE fish_name = 'Walking Catfish'</v>
      </c>
      <c r="J87" s="3" t="str">
        <f t="shared" si="3"/>
        <v>((SELECT fish_id FROM fishing.t_fish WHERE fish_name = 'Walking Catfish'),'Hopping Catfish','The catfish can be seen hopping around the mud-covered water when the drought arrived. Scholars alike theorize that maybe a mutation caused this catfish to be able to hop using mana stored inside its body.',0.6,6,20,10,60),</v>
      </c>
    </row>
    <row r="88" spans="1:10" ht="27.6" x14ac:dyDescent="0.25">
      <c r="A88" s="12" t="s">
        <v>249</v>
      </c>
      <c r="B88" s="12" t="s">
        <v>821</v>
      </c>
      <c r="C88" s="13" t="s">
        <v>205</v>
      </c>
      <c r="D88" s="13">
        <v>5</v>
      </c>
      <c r="E88" s="13">
        <v>30</v>
      </c>
      <c r="F88" s="13">
        <v>12</v>
      </c>
      <c r="G88" s="13">
        <v>35</v>
      </c>
      <c r="H88" s="14" t="s">
        <v>851</v>
      </c>
      <c r="I88" s="3" t="str">
        <f t="shared" si="2"/>
        <v>SELECT fish_id FROM fishing.t_fish WHERE fish_name = 'Redtail Catfish'</v>
      </c>
      <c r="J88" s="3" t="str">
        <f t="shared" si="3"/>
        <v>((SELECT fish_id FROM fishing.t_fish WHERE fish_name = 'Redtail Catfish'),'Tailless Catfish','Its tail has gradually been consumed by the mana inside of it, making this fish unable to swim altogether and slowly die of hunger and predation.',0.3,5,30,12,35),</v>
      </c>
    </row>
    <row r="89" spans="1:10" ht="27.6" x14ac:dyDescent="0.25">
      <c r="A89" s="12" t="s">
        <v>249</v>
      </c>
      <c r="B89" s="12" t="s">
        <v>819</v>
      </c>
      <c r="C89" s="13" t="s">
        <v>343</v>
      </c>
      <c r="D89" s="13">
        <v>15</v>
      </c>
      <c r="E89" s="13">
        <v>62</v>
      </c>
      <c r="F89" s="13">
        <v>19</v>
      </c>
      <c r="G89" s="13">
        <v>125</v>
      </c>
      <c r="H89" s="14" t="s">
        <v>820</v>
      </c>
      <c r="I89" s="3" t="str">
        <f t="shared" si="2"/>
        <v>SELECT fish_id FROM fishing.t_fish WHERE fish_name = 'Redtail Catfish'</v>
      </c>
      <c r="J89" s="3" t="str">
        <f t="shared" si="3"/>
        <v>((SELECT fish_id FROM fishing.t_fish WHERE fish_name = 'Redtail Catfish'),'Blazingtail Catfish','This catfish's tail will glow red, and it will use the tail as a hammer to attack its attacker. The tail can easily burn the attacker if not immediately swatted away.',0.7,15,62,19,125),</v>
      </c>
    </row>
    <row r="90" spans="1:10" ht="27.6" x14ac:dyDescent="0.25">
      <c r="A90" s="12" t="s">
        <v>273</v>
      </c>
      <c r="B90" s="12" t="s">
        <v>824</v>
      </c>
      <c r="C90" s="13" t="s">
        <v>195</v>
      </c>
      <c r="D90" s="13">
        <v>15</v>
      </c>
      <c r="E90" s="13">
        <v>85</v>
      </c>
      <c r="F90" s="13">
        <v>25</v>
      </c>
      <c r="G90" s="13">
        <v>165</v>
      </c>
      <c r="H90" s="14" t="s">
        <v>825</v>
      </c>
      <c r="I90" s="3" t="str">
        <f t="shared" si="2"/>
        <v>SELECT fish_id FROM fishing.t_fish WHERE fish_name = 'Alligator Gar'</v>
      </c>
      <c r="J90" s="3" t="str">
        <f t="shared" si="3"/>
        <v>((SELECT fish_id FROM fishing.t_fish WHERE fish_name = 'Alligator Gar'),'Shedding Gar','Scales from this gar will constantly shed due to mana leaking everywhere from its body, making it vulnerable to all parasites and infections.',0.4,15,85,25,165),</v>
      </c>
    </row>
    <row r="91" spans="1:10" ht="27.6" x14ac:dyDescent="0.25">
      <c r="A91" s="12" t="s">
        <v>273</v>
      </c>
      <c r="B91" s="12" t="s">
        <v>822</v>
      </c>
      <c r="C91" s="13" t="s">
        <v>214</v>
      </c>
      <c r="D91" s="13">
        <v>30</v>
      </c>
      <c r="E91" s="13">
        <v>180</v>
      </c>
      <c r="F91" s="13">
        <v>65</v>
      </c>
      <c r="G91" s="13">
        <v>225</v>
      </c>
      <c r="H91" s="14" t="s">
        <v>823</v>
      </c>
      <c r="I91" s="3" t="str">
        <f t="shared" si="2"/>
        <v>SELECT fish_id FROM fishing.t_fish WHERE fish_name = 'Alligator Gar'</v>
      </c>
      <c r="J91" s="3" t="str">
        <f t="shared" si="3"/>
        <v>((SELECT fish_id FROM fishing.t_fish WHERE fish_name = 'Alligator Gar'),'Double-jaw Gar','When this fish hunt their prey, it will chase it and bite it using the second set of jaws inside its throat. It will grab the prey and slowly swallow it using its main mouth.',0.6,30,180,65,225),</v>
      </c>
    </row>
    <row r="92" spans="1:10" ht="27.6" x14ac:dyDescent="0.25">
      <c r="A92" s="12" t="s">
        <v>381</v>
      </c>
      <c r="B92" s="12" t="s">
        <v>852</v>
      </c>
      <c r="C92" s="13" t="s">
        <v>343</v>
      </c>
      <c r="D92" s="13" t="s">
        <v>32</v>
      </c>
      <c r="E92" s="13" t="s">
        <v>240</v>
      </c>
      <c r="F92" s="13">
        <v>14</v>
      </c>
      <c r="G92" s="13">
        <v>85</v>
      </c>
      <c r="H92" s="14" t="s">
        <v>827</v>
      </c>
      <c r="I92" s="3" t="str">
        <f t="shared" si="2"/>
        <v>SELECT fish_id FROM fishing.t_fish WHERE fish_name = 'Walleye'</v>
      </c>
      <c r="J92" s="3" t="str">
        <f t="shared" si="3"/>
        <v>((SELECT fish_id FROM fishing.t_fish WHERE fish_name = 'Walleye'),'Frenzied Walleye','This fish usually avoids bright light because of their sensitive eyes, but because of the mana mutation, this fish will charge toward the light source and attack it relentlessly.',0.7,1.1,8.5,14,85),</v>
      </c>
    </row>
    <row r="93" spans="1:10" ht="27.6" x14ac:dyDescent="0.25">
      <c r="A93" s="12" t="s">
        <v>381</v>
      </c>
      <c r="B93" s="12" t="s">
        <v>826</v>
      </c>
      <c r="C93" s="13" t="s">
        <v>205</v>
      </c>
      <c r="D93" s="13" t="s">
        <v>28</v>
      </c>
      <c r="E93" s="13">
        <v>10</v>
      </c>
      <c r="F93" s="13">
        <v>12</v>
      </c>
      <c r="G93" s="13">
        <v>70</v>
      </c>
      <c r="H93" s="14" t="s">
        <v>828</v>
      </c>
      <c r="I93" s="3" t="str">
        <f t="shared" si="2"/>
        <v>SELECT fish_id FROM fishing.t_fish WHERE fish_name = 'Walleye'</v>
      </c>
      <c r="J93" s="3" t="str">
        <f t="shared" si="3"/>
        <v>((SELECT fish_id FROM fishing.t_fish WHERE fish_name = 'Walleye'),'Numerous Eyes','Eyes will continuously "grow" on its body aggressively, like a parasite; it will make this fish confused because of the numerous vision at once.',0.3,1.5,10,12,70),</v>
      </c>
    </row>
    <row r="94" spans="1:10" ht="27.6" x14ac:dyDescent="0.25">
      <c r="A94" s="12" t="s">
        <v>384</v>
      </c>
      <c r="B94" s="12" t="s">
        <v>832</v>
      </c>
      <c r="C94" s="13" t="s">
        <v>205</v>
      </c>
      <c r="D94" s="13" t="s">
        <v>256</v>
      </c>
      <c r="E94" s="13" t="s">
        <v>833</v>
      </c>
      <c r="F94" s="13">
        <v>12</v>
      </c>
      <c r="G94" s="13">
        <v>60</v>
      </c>
      <c r="H94" s="14" t="s">
        <v>834</v>
      </c>
      <c r="I94" s="3" t="str">
        <f t="shared" si="2"/>
        <v>SELECT fish_id FROM fishing.t_fish WHERE fish_name = 'Sauger'</v>
      </c>
      <c r="J94" s="3" t="str">
        <f t="shared" si="3"/>
        <v>((SELECT fish_id FROM fishing.t_fish WHERE fish_name = 'Sauger'),'Caniballistic Sauger','Fishermen claim that this fish is always searching for its own kind to prey on; it rarely eats other fish and only attack their own kind.',0.3,1.2,4.2,12,60),</v>
      </c>
    </row>
    <row r="95" spans="1:10" ht="27.6" x14ac:dyDescent="0.25">
      <c r="A95" s="12" t="s">
        <v>384</v>
      </c>
      <c r="B95" s="12" t="s">
        <v>829</v>
      </c>
      <c r="C95" s="13" t="s">
        <v>343</v>
      </c>
      <c r="D95" s="13">
        <v>1</v>
      </c>
      <c r="E95" s="13" t="s">
        <v>830</v>
      </c>
      <c r="F95" s="13">
        <v>11</v>
      </c>
      <c r="G95" s="13">
        <v>53</v>
      </c>
      <c r="H95" s="14" t="s">
        <v>831</v>
      </c>
      <c r="I95" s="3" t="str">
        <f t="shared" si="2"/>
        <v>SELECT fish_id FROM fishing.t_fish WHERE fish_name = 'Sauger'</v>
      </c>
      <c r="J95" s="3" t="str">
        <f t="shared" si="3"/>
        <v>((SELECT fish_id FROM fishing.t_fish WHERE fish_name = 'Sauger'),'Barkhide Sauger','The scales of this fish look like the bark of a tree; it uses this for camouflage when it was hunting underwater.',0.7,1,3.7,11,53),</v>
      </c>
    </row>
    <row r="96" spans="1:10" ht="27.6" x14ac:dyDescent="0.25">
      <c r="A96" s="12" t="s">
        <v>387</v>
      </c>
      <c r="B96" s="12" t="s">
        <v>837</v>
      </c>
      <c r="C96" s="13" t="s">
        <v>208</v>
      </c>
      <c r="D96" s="13" t="s">
        <v>214</v>
      </c>
      <c r="E96" s="13" t="s">
        <v>639</v>
      </c>
      <c r="F96" s="13" t="s">
        <v>838</v>
      </c>
      <c r="G96" s="13">
        <v>48</v>
      </c>
      <c r="H96" s="14" t="s">
        <v>870</v>
      </c>
      <c r="I96" s="3" t="str">
        <f t="shared" si="2"/>
        <v>SELECT fish_id FROM fishing.t_fish WHERE fish_name = 'Yellow Perch'</v>
      </c>
      <c r="J96" s="3" t="str">
        <f t="shared" si="3"/>
        <v>((SELECT fish_id FROM fishing.t_fish WHERE fish_name = 'Yellow Perch'),'Needle-spine Perch','Its upper fin grows some needle-like bones on it, making it extra sharp. It uses this new bone to find a mate and defend itself from predators trying to eat it.',0.8,0.6,2.2,11.2,48),</v>
      </c>
    </row>
    <row r="97" spans="1:10" ht="41.4" x14ac:dyDescent="0.25">
      <c r="A97" s="12" t="s">
        <v>387</v>
      </c>
      <c r="B97" s="12" t="s">
        <v>835</v>
      </c>
      <c r="C97" s="13" t="s">
        <v>198</v>
      </c>
      <c r="D97" s="13" t="s">
        <v>343</v>
      </c>
      <c r="E97" s="13">
        <v>4</v>
      </c>
      <c r="F97" s="13" t="s">
        <v>702</v>
      </c>
      <c r="G97" s="13">
        <v>62</v>
      </c>
      <c r="H97" s="14" t="s">
        <v>836</v>
      </c>
      <c r="I97" s="3" t="str">
        <f t="shared" si="2"/>
        <v>SELECT fish_id FROM fishing.t_fish WHERE fish_name = 'Yellow Perch'</v>
      </c>
      <c r="J97" s="3" t="str">
        <f t="shared" si="3"/>
        <v>((SELECT fish_id FROM fishing.t_fish WHERE fish_name = 'Yellow Perch'),'Rock-eating Perch','The older this fish gets, the more it will keep eating rock out of the bottom of the river. Scholars suggest that because of the mutation, this fish cannot differentiate between prey and rock anymore.',0.2,0.7,4,12.3,62),</v>
      </c>
    </row>
    <row r="98" spans="1:10" ht="27.6" x14ac:dyDescent="0.25">
      <c r="A98" s="12" t="s">
        <v>390</v>
      </c>
      <c r="B98" s="12" t="s">
        <v>842</v>
      </c>
      <c r="C98" s="13" t="s">
        <v>195</v>
      </c>
      <c r="D98" s="13" t="s">
        <v>28</v>
      </c>
      <c r="E98" s="13">
        <v>16</v>
      </c>
      <c r="F98" s="13">
        <v>21</v>
      </c>
      <c r="G98" s="13">
        <v>65</v>
      </c>
      <c r="H98" s="14" t="s">
        <v>843</v>
      </c>
      <c r="I98" s="3" t="str">
        <f t="shared" si="2"/>
        <v>SELECT fish_id FROM fishing.t_fish WHERE fish_name = 'Pikeperch'</v>
      </c>
      <c r="J98" s="3" t="str">
        <f t="shared" si="3"/>
        <v>((SELECT fish_id FROM fishing.t_fish WHERE fish_name = 'Pikeperch'),'Apple Perch','In Seran, this fish is extremely popular due to the meat tasting like a fresh apple; they love it so much, the rich are even ready to pay anyone handsomely for it.',0.4,1.5,16,21,65),</v>
      </c>
    </row>
    <row r="99" spans="1:10" ht="27.6" x14ac:dyDescent="0.25">
      <c r="A99" s="12" t="s">
        <v>390</v>
      </c>
      <c r="B99" s="12" t="s">
        <v>839</v>
      </c>
      <c r="C99" s="13" t="s">
        <v>214</v>
      </c>
      <c r="D99" s="13" t="s">
        <v>840</v>
      </c>
      <c r="E99" s="13">
        <v>18</v>
      </c>
      <c r="F99" s="13">
        <v>23</v>
      </c>
      <c r="G99" s="13">
        <v>75</v>
      </c>
      <c r="H99" s="14" t="s">
        <v>841</v>
      </c>
      <c r="I99" s="3" t="str">
        <f t="shared" si="2"/>
        <v>SELECT fish_id FROM fishing.t_fish WHERE fish_name = 'Pikeperch'</v>
      </c>
      <c r="J99" s="3" t="str">
        <f t="shared" si="3"/>
        <v>((SELECT fish_id FROM fishing.t_fish WHERE fish_name = 'Pikeperch'),'Scythe-tail Perch','The curved tail of this fish makes it look like a scythe; the tail is also hard like a rock, making it a main weapon for the fish to attack predators or prey.',0.6,1.4,18,23,75),</v>
      </c>
    </row>
    <row r="100" spans="1:10" ht="27.6" x14ac:dyDescent="0.25">
      <c r="A100" s="12" t="s">
        <v>392</v>
      </c>
      <c r="B100" s="12" t="s">
        <v>846</v>
      </c>
      <c r="C100" s="13" t="s">
        <v>198</v>
      </c>
      <c r="D100" s="13" t="s">
        <v>205</v>
      </c>
      <c r="E100" s="13" t="s">
        <v>214</v>
      </c>
      <c r="F100" s="13" t="s">
        <v>847</v>
      </c>
      <c r="G100" s="13">
        <v>23</v>
      </c>
      <c r="H100" s="14" t="s">
        <v>848</v>
      </c>
      <c r="I100" s="3" t="str">
        <f t="shared" si="2"/>
        <v>SELECT fish_id FROM fishing.t_fish WHERE fish_name = 'Ruffe'</v>
      </c>
      <c r="J100" s="3" t="str">
        <f t="shared" si="3"/>
        <v>((SELECT fish_id FROM fishing.t_fish WHERE fish_name = 'Ruffe'),'Pearl Ruffe','A large, round rock resembling a pearl is growing below its head; this pearl is considered among scholars as a disease, because the bigger the rock, the thinner the fish is.',0.2,0.3,0.6,4.7,23),</v>
      </c>
    </row>
    <row r="101" spans="1:10" ht="27.6" x14ac:dyDescent="0.25">
      <c r="A101" s="12" t="s">
        <v>392</v>
      </c>
      <c r="B101" s="12" t="s">
        <v>854</v>
      </c>
      <c r="C101" s="13" t="s">
        <v>208</v>
      </c>
      <c r="D101" s="13" t="s">
        <v>198</v>
      </c>
      <c r="E101" s="13" t="s">
        <v>195</v>
      </c>
      <c r="F101" s="13" t="s">
        <v>833</v>
      </c>
      <c r="G101" s="13">
        <v>12</v>
      </c>
      <c r="H101" s="14" t="s">
        <v>853</v>
      </c>
      <c r="I101" s="3" t="str">
        <f t="shared" si="2"/>
        <v>SELECT fish_id FROM fishing.t_fish WHERE fish_name = 'Ruffe'</v>
      </c>
      <c r="J101" s="3" t="str">
        <f t="shared" si="3"/>
        <v>((SELECT fish_id FROM fishing.t_fish WHERE fish_name = 'Ruffe'),'Frenzied Ruffe','This type of ruffe almost always attacks others because of its aggressive tendency to attack anything that is near it, making it never rest peacefully.',0.8,0.2,0.4,4.2,12),</v>
      </c>
    </row>
    <row r="102" spans="1:10" ht="27.6" x14ac:dyDescent="0.25">
      <c r="A102" s="12" t="s">
        <v>371</v>
      </c>
      <c r="B102" s="12" t="s">
        <v>869</v>
      </c>
      <c r="C102" s="13" t="s">
        <v>205</v>
      </c>
      <c r="D102" s="13">
        <v>4</v>
      </c>
      <c r="E102" s="13">
        <v>23</v>
      </c>
      <c r="F102" s="13">
        <v>14</v>
      </c>
      <c r="G102" s="13">
        <v>64</v>
      </c>
      <c r="H102" s="14" t="s">
        <v>871</v>
      </c>
      <c r="I102" s="3" t="str">
        <f t="shared" si="2"/>
        <v>SELECT fish_id FROM fishing.t_fish WHERE fish_name = 'Northern Pike'</v>
      </c>
      <c r="J102" s="3" t="str">
        <f t="shared" si="3"/>
        <v>((SELECT fish_id FROM fishing.t_fish WHERE fish_name = 'Northern Pike'),'Violet Pike','Scholars from Ourea noted that the Violet Pike became thinner the brighter their purple coloration is, suggesting that maybe the mana mutation makes this pike sick.',0.3,4,23,14,64),</v>
      </c>
    </row>
    <row r="103" spans="1:10" ht="27.6" x14ac:dyDescent="0.25">
      <c r="A103" s="12" t="s">
        <v>371</v>
      </c>
      <c r="B103" s="12" t="s">
        <v>867</v>
      </c>
      <c r="C103" s="13" t="s">
        <v>343</v>
      </c>
      <c r="D103" s="13">
        <v>7</v>
      </c>
      <c r="E103" s="13">
        <v>27</v>
      </c>
      <c r="F103" s="13">
        <v>27</v>
      </c>
      <c r="G103" s="13">
        <v>127</v>
      </c>
      <c r="H103" s="14" t="s">
        <v>868</v>
      </c>
      <c r="I103" s="3" t="str">
        <f t="shared" si="2"/>
        <v>SELECT fish_id FROM fishing.t_fish WHERE fish_name = 'Northern Pike'</v>
      </c>
      <c r="J103" s="3" t="str">
        <f t="shared" si="3"/>
        <v>((SELECT fish_id FROM fishing.t_fish WHERE fish_name = 'Northern Pike'),'Night Hunter Pike','This pike becomes more active at night than during the day; scholars theorize that the fish's perception of time is flipped by how they behave.',0.7,7,27,27,127),</v>
      </c>
    </row>
    <row r="104" spans="1:10" ht="41.4" x14ac:dyDescent="0.25">
      <c r="A104" s="12" t="s">
        <v>374</v>
      </c>
      <c r="B104" s="12" t="s">
        <v>875</v>
      </c>
      <c r="C104" s="13" t="s">
        <v>198</v>
      </c>
      <c r="D104" s="13" t="s">
        <v>719</v>
      </c>
      <c r="E104" s="13" t="s">
        <v>876</v>
      </c>
      <c r="F104" s="13">
        <v>34</v>
      </c>
      <c r="G104" s="13">
        <v>78</v>
      </c>
      <c r="H104" s="14" t="s">
        <v>877</v>
      </c>
      <c r="I104" s="3" t="str">
        <f t="shared" si="2"/>
        <v>SELECT fish_id FROM fishing.t_fish WHERE fish_name = 'Southern Pike'</v>
      </c>
      <c r="J104" s="3" t="str">
        <f t="shared" si="3"/>
        <v>((SELECT fish_id FROM fishing.t_fish WHERE fish_name = 'Southern Pike'),'Double-headed Pike','Records from Tidehaven mention that this type of pike is born when its male parent undergoes some kind of mutation when fertilization of eggs happens, making it mutate into having two heads in one body.',0.2,1.6,5.7,34,78),</v>
      </c>
    </row>
    <row r="105" spans="1:10" ht="27.6" x14ac:dyDescent="0.25">
      <c r="A105" s="12" t="s">
        <v>374</v>
      </c>
      <c r="B105" s="12" t="s">
        <v>873</v>
      </c>
      <c r="C105" s="13" t="s">
        <v>208</v>
      </c>
      <c r="D105" s="13" t="s">
        <v>840</v>
      </c>
      <c r="E105" s="13">
        <v>5</v>
      </c>
      <c r="F105" s="13">
        <v>35</v>
      </c>
      <c r="G105" s="13">
        <v>73</v>
      </c>
      <c r="H105" s="14" t="s">
        <v>874</v>
      </c>
      <c r="I105" s="3" t="str">
        <f t="shared" si="2"/>
        <v>SELECT fish_id FROM fishing.t_fish WHERE fish_name = 'Southern Pike'</v>
      </c>
      <c r="J105" s="3" t="str">
        <f t="shared" si="3"/>
        <v>((SELECT fish_id FROM fishing.t_fish WHERE fish_name = 'Southern Pike'),'Pickaxe Pike','A hard protruding bone grows on the base of this fish's lower jaw, making it look like a pick. Scholars suggest that this bone is used to pick on a mollusk's hard shell.',0.8,1.4,5,35,73),</v>
      </c>
    </row>
    <row r="106" spans="1:10" ht="41.4" x14ac:dyDescent="0.25">
      <c r="A106" s="12" t="s">
        <v>376</v>
      </c>
      <c r="B106" s="12" t="s">
        <v>880</v>
      </c>
      <c r="C106" s="13" t="s">
        <v>213</v>
      </c>
      <c r="D106" s="13">
        <v>7</v>
      </c>
      <c r="E106" s="13">
        <v>45</v>
      </c>
      <c r="F106" s="13">
        <v>60</v>
      </c>
      <c r="G106" s="13">
        <v>200</v>
      </c>
      <c r="H106" s="14" t="s">
        <v>911</v>
      </c>
      <c r="I106" s="3" t="str">
        <f t="shared" si="2"/>
        <v>SELECT fish_id FROM fishing.t_fish WHERE fish_name = 'Muskie'</v>
      </c>
      <c r="J106" s="3" t="str">
        <f t="shared" si="3"/>
        <v>((SELECT fish_id FROM fishing.t_fish WHERE fish_name = 'Muskie'),'Elusive Pike','Fishermen all around Tidehaven and Rosegleam tell a tale of this fish because of how hard it is to even see one in real life. Even if fishermen manage to hook this fish, very few have managed to land one.',0.1,7,45,60,200),</v>
      </c>
    </row>
    <row r="107" spans="1:10" ht="27.6" x14ac:dyDescent="0.25">
      <c r="A107" s="12" t="s">
        <v>376</v>
      </c>
      <c r="B107" s="12" t="s">
        <v>878</v>
      </c>
      <c r="C107" s="13" t="s">
        <v>201</v>
      </c>
      <c r="D107" s="13">
        <v>6</v>
      </c>
      <c r="E107" s="13">
        <v>40</v>
      </c>
      <c r="F107" s="13">
        <v>50</v>
      </c>
      <c r="G107" s="13">
        <v>175</v>
      </c>
      <c r="H107" s="14" t="s">
        <v>879</v>
      </c>
      <c r="I107" s="3" t="str">
        <f t="shared" si="2"/>
        <v>SELECT fish_id FROM fishing.t_fish WHERE fish_name = 'Muskie'</v>
      </c>
      <c r="J107" s="3" t="str">
        <f t="shared" si="3"/>
        <v>((SELECT fish_id FROM fishing.t_fish WHERE fish_name = 'Muskie'),'Saber Pike','A large fang-like tooth can be seen protruding from its mouth. This fang made any prey that had been captured by the pike die almost instantly.',0.9,6,40,50,175),</v>
      </c>
    </row>
    <row r="108" spans="1:10" ht="41.4" x14ac:dyDescent="0.25">
      <c r="A108" s="12" t="s">
        <v>378</v>
      </c>
      <c r="B108" s="12" t="s">
        <v>884</v>
      </c>
      <c r="C108" s="13" t="s">
        <v>198</v>
      </c>
      <c r="D108" s="13" t="s">
        <v>205</v>
      </c>
      <c r="E108" s="13" t="s">
        <v>28</v>
      </c>
      <c r="F108" s="13">
        <v>3</v>
      </c>
      <c r="G108" s="13">
        <v>31</v>
      </c>
      <c r="H108" s="14" t="s">
        <v>885</v>
      </c>
      <c r="I108" s="3" t="str">
        <f t="shared" si="2"/>
        <v>SELECT fish_id FROM fishing.t_fish WHERE fish_name = 'Redfin Pickerel'</v>
      </c>
      <c r="J108" s="3" t="str">
        <f t="shared" si="3"/>
        <v>((SELECT fish_id FROM fishing.t_fish WHERE fish_name = 'Redfin Pickerel'),'Skull-less Pickerel','The top of the head of this fish is gone, and little fish and small aquatic animals can be seen eating its brain when the pickerel is still alive. Scholars around Endral cannot seem to understand how the pickerel is even alive after the mutation made its top head disappear.',0.2,0.3,1.5,3,31),</v>
      </c>
    </row>
    <row r="109" spans="1:10" ht="27.6" x14ac:dyDescent="0.25">
      <c r="A109" s="12" t="s">
        <v>378</v>
      </c>
      <c r="B109" s="12" t="s">
        <v>881</v>
      </c>
      <c r="C109" s="13" t="s">
        <v>208</v>
      </c>
      <c r="D109" s="13" t="s">
        <v>27</v>
      </c>
      <c r="E109" s="13" t="s">
        <v>882</v>
      </c>
      <c r="F109" s="13">
        <v>4</v>
      </c>
      <c r="G109" s="13">
        <v>35</v>
      </c>
      <c r="H109" s="14" t="s">
        <v>883</v>
      </c>
      <c r="I109" s="3" t="str">
        <f t="shared" si="2"/>
        <v>SELECT fish_id FROM fishing.t_fish WHERE fish_name = 'Redfin Pickerel'</v>
      </c>
      <c r="J109" s="3" t="str">
        <f t="shared" si="3"/>
        <v>((SELECT fish_id FROM fishing.t_fish WHERE fish_name = 'Redfin Pickerel'),'Fiery Red Pickerel','The entire body of this pickerel has a bright red coloration, making it easy to be spotted by fishermen and predators alike. ',0.8,0.5,1.8,4,35),</v>
      </c>
    </row>
    <row r="110" spans="1:10" ht="41.4" x14ac:dyDescent="0.25">
      <c r="A110" s="12" t="s">
        <v>36</v>
      </c>
      <c r="B110" s="12" t="s">
        <v>888</v>
      </c>
      <c r="C110" s="13" t="s">
        <v>198</v>
      </c>
      <c r="D110" s="13" t="s">
        <v>214</v>
      </c>
      <c r="E110" s="13" t="s">
        <v>291</v>
      </c>
      <c r="F110" s="13">
        <v>14</v>
      </c>
      <c r="G110" s="13">
        <v>40</v>
      </c>
      <c r="H110" s="14" t="s">
        <v>889</v>
      </c>
      <c r="I110" s="3" t="str">
        <f t="shared" si="2"/>
        <v>SELECT fish_id FROM fishing.t_fish WHERE fish_name = 'Bluegill'</v>
      </c>
      <c r="J110" s="3" t="str">
        <f t="shared" si="3"/>
        <v>((SELECT fish_id FROM fishing.t_fish WHERE fish_name = 'Bluegill'),'Bulging Bluegill','A bulging mass can be found on its body; this mass contains a lot of flesh from the fish itself. Scholars think that this bulging mass "eats" all the nutrients that the fish consume and continously grow.',0.2,0.6,2.5,14,40),</v>
      </c>
    </row>
    <row r="111" spans="1:10" ht="27.6" x14ac:dyDescent="0.25">
      <c r="A111" s="12" t="s">
        <v>36</v>
      </c>
      <c r="B111" s="12" t="s">
        <v>886</v>
      </c>
      <c r="C111" s="13" t="s">
        <v>208</v>
      </c>
      <c r="D111" s="13" t="s">
        <v>343</v>
      </c>
      <c r="E111" s="13" t="s">
        <v>400</v>
      </c>
      <c r="F111" s="13">
        <v>12</v>
      </c>
      <c r="G111" s="13">
        <v>37</v>
      </c>
      <c r="H111" s="14" t="s">
        <v>887</v>
      </c>
      <c r="I111" s="3" t="str">
        <f t="shared" si="2"/>
        <v>SELECT fish_id FROM fishing.t_fish WHERE fish_name = 'Bluegill'</v>
      </c>
      <c r="J111" s="3" t="str">
        <f t="shared" si="3"/>
        <v>((SELECT fish_id FROM fishing.t_fish WHERE fish_name = 'Bluegill'),'Rabbit-ear Fish','The "ear" behind the gill of this fish mutates to become so long that it almost looks like a rabbit's ear. This ear is presumably used to detect slight changes in the water.',0.8,0.7,2.3,12,37),</v>
      </c>
    </row>
    <row r="112" spans="1:10" ht="27.6" x14ac:dyDescent="0.25">
      <c r="A112" s="12" t="s">
        <v>194</v>
      </c>
      <c r="B112" s="12" t="s">
        <v>893</v>
      </c>
      <c r="C112" s="13" t="s">
        <v>205</v>
      </c>
      <c r="D112" s="13" t="s">
        <v>27</v>
      </c>
      <c r="E112" s="13" t="s">
        <v>295</v>
      </c>
      <c r="F112" s="13">
        <v>9</v>
      </c>
      <c r="G112" s="13">
        <v>26</v>
      </c>
      <c r="H112" s="14" t="s">
        <v>894</v>
      </c>
      <c r="I112" s="3" t="str">
        <f t="shared" si="2"/>
        <v>SELECT fish_id FROM fishing.t_fish WHERE fish_name = 'Pumpkinseed'</v>
      </c>
      <c r="J112" s="3" t="str">
        <f t="shared" si="3"/>
        <v>((SELECT fish_id FROM fishing.t_fish WHERE fish_name = 'Pumpkinseed'),'Spear-tongue Fish','A spear-like tongue can be located in the fish's mouth; the fish uses this tongue to skewer its prey and eat it whole. This fish also uses its tongue to fight for its territory and scare off predators.',0.3,0.5,1.3,9,26),</v>
      </c>
    </row>
    <row r="113" spans="1:10" ht="27.6" x14ac:dyDescent="0.25">
      <c r="A113" s="12" t="s">
        <v>194</v>
      </c>
      <c r="B113" s="12" t="s">
        <v>890</v>
      </c>
      <c r="C113" s="13" t="s">
        <v>343</v>
      </c>
      <c r="D113" s="13" t="s">
        <v>214</v>
      </c>
      <c r="E113" s="13" t="s">
        <v>256</v>
      </c>
      <c r="F113" s="13">
        <v>12</v>
      </c>
      <c r="G113" s="13">
        <v>30</v>
      </c>
      <c r="H113" s="14" t="s">
        <v>891</v>
      </c>
      <c r="I113" s="3" t="str">
        <f t="shared" si="2"/>
        <v>SELECT fish_id FROM fishing.t_fish WHERE fish_name = 'Pumpkinseed'</v>
      </c>
      <c r="J113" s="3" t="str">
        <f t="shared" si="3"/>
        <v>((SELECT fish_id FROM fishing.t_fish WHERE fish_name = 'Pumpkinseed'),'Seed Scale Fish','A seed size scale grows irregulary through out is body. This "seed" can be eaten just like a pumpkin seed would when cooked properly.',0.7,0.6,1.2,12,30),</v>
      </c>
    </row>
    <row r="114" spans="1:10" ht="27.6" x14ac:dyDescent="0.25">
      <c r="A114" s="12" t="s">
        <v>200</v>
      </c>
      <c r="B114" s="12" t="s">
        <v>897</v>
      </c>
      <c r="C114" s="13" t="s">
        <v>195</v>
      </c>
      <c r="D114" s="13" t="s">
        <v>205</v>
      </c>
      <c r="E114" s="13" t="s">
        <v>256</v>
      </c>
      <c r="F114" s="13">
        <v>7</v>
      </c>
      <c r="G114" s="13">
        <v>32</v>
      </c>
      <c r="H114" s="14" t="s">
        <v>898</v>
      </c>
      <c r="I114" s="3" t="str">
        <f t="shared" si="2"/>
        <v>SELECT fish_id FROM fishing.t_fish WHERE fish_name = 'Green Sunfish'</v>
      </c>
      <c r="J114" s="3" t="str">
        <f t="shared" si="3"/>
        <v>((SELECT fish_id FROM fishing.t_fish WHERE fish_name = 'Green Sunfish'),'Bearded Sunfish','A reed-like plant grows from its gill, almost covering it entirely. This "plant" is used by the fish to attract plant-eating fish to be its prey.',0.4,0.3,1.2,7,32),</v>
      </c>
    </row>
    <row r="115" spans="1:10" ht="27.6" x14ac:dyDescent="0.25">
      <c r="A115" s="12" t="s">
        <v>200</v>
      </c>
      <c r="B115" s="12" t="s">
        <v>895</v>
      </c>
      <c r="C115" s="13" t="s">
        <v>214</v>
      </c>
      <c r="D115" s="13" t="s">
        <v>27</v>
      </c>
      <c r="E115" s="13" t="s">
        <v>295</v>
      </c>
      <c r="F115" s="13">
        <v>8</v>
      </c>
      <c r="G115" s="13">
        <v>35</v>
      </c>
      <c r="H115" s="14" t="s">
        <v>896</v>
      </c>
      <c r="I115" s="3" t="str">
        <f t="shared" si="2"/>
        <v>SELECT fish_id FROM fishing.t_fish WHERE fish_name = 'Green Sunfish'</v>
      </c>
      <c r="J115" s="3" t="str">
        <f t="shared" si="3"/>
        <v>((SELECT fish_id FROM fishing.t_fish WHERE fish_name = 'Green Sunfish'),'Moss Sunfish','A moss covered the entire body of this fish. Whenever prey comes close to eat the moss on its body, it will ambush it and eat it instead.',0.6,0.5,1.3,8,35),</v>
      </c>
    </row>
    <row r="116" spans="1:10" ht="41.4" x14ac:dyDescent="0.25">
      <c r="A116" s="12" t="s">
        <v>218</v>
      </c>
      <c r="B116" s="12" t="s">
        <v>901</v>
      </c>
      <c r="C116" s="13" t="s">
        <v>213</v>
      </c>
      <c r="D116" s="13" t="s">
        <v>213</v>
      </c>
      <c r="E116" s="13" t="s">
        <v>27</v>
      </c>
      <c r="F116" s="13">
        <v>4</v>
      </c>
      <c r="G116" s="13">
        <v>7</v>
      </c>
      <c r="H116" s="14" t="s">
        <v>902</v>
      </c>
      <c r="I116" s="3" t="str">
        <f t="shared" si="2"/>
        <v>SELECT fish_id FROM fishing.t_fish WHERE fish_name = 'Pocket Sunfish'</v>
      </c>
      <c r="J116" s="3" t="str">
        <f t="shared" si="3"/>
        <v>((SELECT fish_id FROM fishing.t_fish WHERE fish_name = 'Pocket Sunfish'),'The Sunfish','The glow from this small fish is considered to be a glow of the sun itself. This fish only glows when it feels threatened, but people from Rosegleam thought this a good premonition about the incoming weather.',0.1,0.1,0.5,4,7),</v>
      </c>
    </row>
    <row r="117" spans="1:10" ht="27.6" x14ac:dyDescent="0.25">
      <c r="A117" s="12" t="s">
        <v>218</v>
      </c>
      <c r="B117" s="12" t="s">
        <v>899</v>
      </c>
      <c r="C117" s="13" t="s">
        <v>201</v>
      </c>
      <c r="D117" s="13" t="s">
        <v>213</v>
      </c>
      <c r="E117" s="13" t="s">
        <v>214</v>
      </c>
      <c r="F117" s="13">
        <v>3</v>
      </c>
      <c r="G117" s="13">
        <v>6</v>
      </c>
      <c r="H117" s="14" t="s">
        <v>900</v>
      </c>
      <c r="I117" s="3" t="str">
        <f t="shared" si="2"/>
        <v>SELECT fish_id FROM fishing.t_fish WHERE fish_name = 'Pocket Sunfish'</v>
      </c>
      <c r="J117" s="3" t="str">
        <f t="shared" si="3"/>
        <v>((SELECT fish_id FROM fishing.t_fish WHERE fish_name = 'Pocket Sunfish'),'Schooling Sunfish','Mutations make this fish change its behavior and start to hunt in packs; they will surround its prey and started to eat them bit by bit.',0.9,0.1,0.6,3,6),</v>
      </c>
    </row>
    <row r="118" spans="1:10" ht="27.6" x14ac:dyDescent="0.25">
      <c r="A118" s="12" t="s">
        <v>197</v>
      </c>
      <c r="B118" s="12" t="s">
        <v>904</v>
      </c>
      <c r="C118" s="13" t="s">
        <v>205</v>
      </c>
      <c r="D118" s="13" t="s">
        <v>205</v>
      </c>
      <c r="E118" s="13" t="s">
        <v>295</v>
      </c>
      <c r="F118" s="13">
        <v>12</v>
      </c>
      <c r="G118" s="13">
        <v>45</v>
      </c>
      <c r="H118" s="14" t="s">
        <v>906</v>
      </c>
      <c r="I118" s="3" t="str">
        <f t="shared" si="2"/>
        <v>SELECT fish_id FROM fishing.t_fish WHERE fish_name = 'Redear Sunfish'</v>
      </c>
      <c r="J118" s="3" t="str">
        <f t="shared" si="3"/>
        <v>((SELECT fish_id FROM fishing.t_fish WHERE fish_name = 'Redear Sunfish'),'Fan-ear Sunfish','The "ear" from this fish grows so big that it almost covers its gill; this "ear" is used by the fish to create a water current that cleans the surrounding area for its home.',0.3,0.3,1.3,12,45),</v>
      </c>
    </row>
    <row r="119" spans="1:10" ht="27.6" x14ac:dyDescent="0.25">
      <c r="A119" s="12" t="s">
        <v>197</v>
      </c>
      <c r="B119" s="12" t="s">
        <v>903</v>
      </c>
      <c r="C119" s="13" t="s">
        <v>343</v>
      </c>
      <c r="D119" s="13" t="s">
        <v>195</v>
      </c>
      <c r="E119" s="13" t="s">
        <v>882</v>
      </c>
      <c r="F119" s="13">
        <v>13</v>
      </c>
      <c r="G119" s="13">
        <v>50</v>
      </c>
      <c r="H119" s="14" t="s">
        <v>905</v>
      </c>
      <c r="I119" s="3" t="str">
        <f t="shared" si="2"/>
        <v>SELECT fish_id FROM fishing.t_fish WHERE fish_name = 'Redear Sunfish'</v>
      </c>
      <c r="J119" s="3" t="str">
        <f t="shared" si="3"/>
        <v>((SELECT fish_id FROM fishing.t_fish WHERE fish_name = 'Redear Sunfish'),'Sailfin Sunfish','A fin grows from the top of its head until it's connected to the tail behind, making it look like the sail of a ship. This makes the fish able to maneuver around the water expertly.',0.7,0.4,1.8,13,50),</v>
      </c>
    </row>
    <row r="120" spans="1:10" ht="41.4" x14ac:dyDescent="0.25">
      <c r="A120" s="12" t="s">
        <v>204</v>
      </c>
      <c r="B120" s="12" t="s">
        <v>909</v>
      </c>
      <c r="C120" s="13" t="s">
        <v>195</v>
      </c>
      <c r="D120" s="13" t="s">
        <v>27</v>
      </c>
      <c r="E120" s="13" t="s">
        <v>28</v>
      </c>
      <c r="F120" s="13">
        <v>15</v>
      </c>
      <c r="G120" s="13">
        <v>35</v>
      </c>
      <c r="H120" s="14" t="s">
        <v>910</v>
      </c>
      <c r="I120" s="3" t="str">
        <f t="shared" si="2"/>
        <v>SELECT fish_id FROM fishing.t_fish WHERE fish_name = 'Warmouth'</v>
      </c>
      <c r="J120" s="3" t="str">
        <f t="shared" si="3"/>
        <v>((SELECT fish_id FROM fishing.t_fish WHERE fish_name = 'Warmouth'),'Strawberry Fish','A small bump can be felt around its body like the skin of a strawberry; the flesh is vivid crimson red and smells like a ripe strawberry. But, scholars said that the flesh of this fish is contaminated with a lot of parasites, making this fish's flesh inedible.',0.4,0.5,1.5,15,35),</v>
      </c>
    </row>
    <row r="121" spans="1:10" ht="27.6" x14ac:dyDescent="0.25">
      <c r="A121" s="12" t="s">
        <v>204</v>
      </c>
      <c r="B121" s="12" t="s">
        <v>907</v>
      </c>
      <c r="C121" s="13" t="s">
        <v>214</v>
      </c>
      <c r="D121" s="13" t="s">
        <v>343</v>
      </c>
      <c r="E121" s="13" t="s">
        <v>637</v>
      </c>
      <c r="F121" s="13">
        <v>13</v>
      </c>
      <c r="G121" s="13">
        <v>33</v>
      </c>
      <c r="H121" s="14" t="s">
        <v>908</v>
      </c>
      <c r="I121" s="3" t="str">
        <f t="shared" si="2"/>
        <v>SELECT fish_id FROM fishing.t_fish WHERE fish_name = 'Warmouth'</v>
      </c>
      <c r="J121" s="3" t="str">
        <f t="shared" si="3"/>
        <v>((SELECT fish_id FROM fishing.t_fish WHERE fish_name = 'Warmouth'),'Slit-Mouthed Fish','This aggressive fish can open its mouth so wide that it will break their cheek just to swallow their prey whole. This gesture will make the wound infected and make this fish sick and eventually die.',0.6,0.7,1.7,13,33),</v>
      </c>
    </row>
    <row r="122" spans="1:10" ht="27.6" x14ac:dyDescent="0.25">
      <c r="A122" s="15" t="s">
        <v>207</v>
      </c>
      <c r="B122" s="12" t="s">
        <v>913</v>
      </c>
      <c r="C122" s="13" t="s">
        <v>195</v>
      </c>
      <c r="D122" s="13" t="s">
        <v>205</v>
      </c>
      <c r="E122" s="13" t="s">
        <v>343</v>
      </c>
      <c r="F122" s="13">
        <v>11</v>
      </c>
      <c r="G122" s="13">
        <v>29</v>
      </c>
      <c r="H122" s="14" t="s">
        <v>914</v>
      </c>
      <c r="I122" s="3" t="str">
        <f t="shared" si="2"/>
        <v>SELECT fish_id FROM fishing.t_fish WHERE fish_name = 'Redbreast Sunfish'</v>
      </c>
      <c r="J122" s="3" t="str">
        <f t="shared" si="3"/>
        <v>((SELECT fish_id FROM fishing.t_fish WHERE fish_name = 'Redbreast Sunfish'),'Sting Sunfish','A tiny, rigid hair grows on its breast; this tiny hair can make whoever touches it breast area have an immediate burning sensation on their hand, followed by itching sensation.',0.4,0.3,0.7,11,29),</v>
      </c>
    </row>
    <row r="123" spans="1:10" ht="41.4" x14ac:dyDescent="0.25">
      <c r="A123" s="15" t="s">
        <v>207</v>
      </c>
      <c r="B123" s="12" t="s">
        <v>912</v>
      </c>
      <c r="C123" s="13" t="s">
        <v>214</v>
      </c>
      <c r="D123" s="13" t="s">
        <v>205</v>
      </c>
      <c r="E123" s="13" t="s">
        <v>201</v>
      </c>
      <c r="F123" s="13">
        <v>12</v>
      </c>
      <c r="G123" s="13">
        <v>32</v>
      </c>
      <c r="H123" s="14" t="s">
        <v>954</v>
      </c>
      <c r="I123" s="3" t="str">
        <f t="shared" si="2"/>
        <v>SELECT fish_id FROM fishing.t_fish WHERE fish_name = 'Redbreast Sunfish'</v>
      </c>
      <c r="J123" s="3" t="str">
        <f t="shared" si="3"/>
        <v>((SELECT fish_id FROM fishing.t_fish WHERE fish_name = 'Redbreast Sunfish'),'Frostbreast Sunfish','Its breast area is circulating with an intense mana that makes the temperature unnaturally cold to the touch; some fishermen even get a mild frostbite when they dare each other to hold the fish for a long time.',0.6,0.3,0.9,12,32),</v>
      </c>
    </row>
    <row r="124" spans="1:10" ht="41.4" x14ac:dyDescent="0.25">
      <c r="A124" s="15" t="s">
        <v>892</v>
      </c>
      <c r="B124" s="12" t="s">
        <v>917</v>
      </c>
      <c r="C124" s="13" t="s">
        <v>195</v>
      </c>
      <c r="D124" s="13" t="s">
        <v>205</v>
      </c>
      <c r="E124" s="13" t="s">
        <v>201</v>
      </c>
      <c r="F124" s="13">
        <v>8</v>
      </c>
      <c r="G124" s="13">
        <v>22</v>
      </c>
      <c r="H124" s="14" t="s">
        <v>918</v>
      </c>
      <c r="I124" s="3" t="str">
        <f t="shared" si="2"/>
        <v>SELECT fish_id FROM fishing.t_fish WHERE fish_name = 'Long-ear Sunfish'</v>
      </c>
      <c r="J124" s="3" t="str">
        <f t="shared" si="3"/>
        <v>((SELECT fish_id FROM fishing.t_fish WHERE fish_name = 'Long-ear Sunfish'),'Hooded Sunfish','Its ear evolves and connects to the other end of the ear, making it resemble a hood on top of its head. Nobody knows the uses of the hood; some speculate that it prevents mana leakage, and others claim that it was something to attract the female.',0.4,0.3,0.9,8,22),</v>
      </c>
    </row>
    <row r="125" spans="1:10" x14ac:dyDescent="0.25">
      <c r="A125" s="15" t="s">
        <v>892</v>
      </c>
      <c r="B125" s="12" t="s">
        <v>915</v>
      </c>
      <c r="C125" s="13" t="s">
        <v>214</v>
      </c>
      <c r="D125" s="13" t="s">
        <v>205</v>
      </c>
      <c r="E125" s="13" t="s">
        <v>256</v>
      </c>
      <c r="F125" s="13">
        <v>11</v>
      </c>
      <c r="G125" s="13">
        <v>26</v>
      </c>
      <c r="H125" s="14" t="s">
        <v>916</v>
      </c>
      <c r="I125" s="3" t="str">
        <f t="shared" si="2"/>
        <v>SELECT fish_id FROM fishing.t_fish WHERE fish_name = 'Long-ear Sunfish'</v>
      </c>
      <c r="J125" s="3" t="str">
        <f t="shared" si="3"/>
        <v>((SELECT fish_id FROM fishing.t_fish WHERE fish_name = 'Long-ear Sunfish'),'Paddle-ear Sunfish','Mana evolving this fish's ear into a paddle-like shape, the ear is used to help the fish move faster.',0.6,0.3,1.2,11,26),</v>
      </c>
    </row>
    <row r="126" spans="1:10" ht="41.4" x14ac:dyDescent="0.25">
      <c r="A126" s="12" t="s">
        <v>212</v>
      </c>
      <c r="B126" s="12" t="s">
        <v>921</v>
      </c>
      <c r="C126" s="13" t="s">
        <v>205</v>
      </c>
      <c r="D126" s="13" t="s">
        <v>213</v>
      </c>
      <c r="E126" s="13" t="s">
        <v>208</v>
      </c>
      <c r="F126" s="13">
        <v>9</v>
      </c>
      <c r="G126" s="13">
        <v>17</v>
      </c>
      <c r="H126" s="14" t="s">
        <v>922</v>
      </c>
      <c r="I126" s="3" t="str">
        <f t="shared" si="2"/>
        <v>SELECT fish_id FROM fishing.t_fish WHERE fish_name = 'Orangespotted Sunfish'</v>
      </c>
      <c r="J126" s="3" t="str">
        <f t="shared" si="3"/>
        <v>((SELECT fish_id FROM fishing.t_fish WHERE fish_name = 'Orangespotted Sunfish'),'Rainbow Sunfish','The sunfish scales got their colors from the mana inside of them, making them have almost all the colors in the rainbow. Some merchants will make an accessory using their scales and sell it for a valuable price.',0.3,0.1,0.8,9,17),</v>
      </c>
    </row>
    <row r="127" spans="1:10" ht="27.6" x14ac:dyDescent="0.25">
      <c r="A127" s="12" t="s">
        <v>212</v>
      </c>
      <c r="B127" s="12" t="s">
        <v>919</v>
      </c>
      <c r="C127" s="13" t="s">
        <v>343</v>
      </c>
      <c r="D127" s="13" t="s">
        <v>198</v>
      </c>
      <c r="E127" s="13" t="s">
        <v>343</v>
      </c>
      <c r="F127" s="13">
        <v>7</v>
      </c>
      <c r="G127" s="13">
        <v>14</v>
      </c>
      <c r="H127" s="14" t="s">
        <v>920</v>
      </c>
      <c r="I127" s="3" t="str">
        <f t="shared" si="2"/>
        <v>SELECT fish_id FROM fishing.t_fish WHERE fish_name = 'Orangespotted Sunfish'</v>
      </c>
      <c r="J127" s="3" t="str">
        <f t="shared" si="3"/>
        <v>((SELECT fish_id FROM fishing.t_fish WHERE fish_name = 'Orangespotted Sunfish'),'Gleaming Sunfish','Its body reflects light and makes predators confused by its position. This ability to reflect light makes the scale of this fish very valuable, usually made into a mirror for the nobles.',0.7,0.2,0.7,7,14),</v>
      </c>
    </row>
    <row r="128" spans="1:10" ht="27.6" x14ac:dyDescent="0.25">
      <c r="A128" s="12" t="s">
        <v>216</v>
      </c>
      <c r="B128" s="12" t="s">
        <v>925</v>
      </c>
      <c r="C128" s="13" t="s">
        <v>195</v>
      </c>
      <c r="D128" s="13" t="s">
        <v>205</v>
      </c>
      <c r="E128" s="13" t="s">
        <v>201</v>
      </c>
      <c r="F128" s="13">
        <v>10</v>
      </c>
      <c r="G128" s="13">
        <v>19</v>
      </c>
      <c r="H128" s="14" t="s">
        <v>926</v>
      </c>
      <c r="I128" s="3" t="str">
        <f t="shared" si="2"/>
        <v>SELECT fish_id FROM fishing.t_fish WHERE fish_name = 'Roundel Sunfish'</v>
      </c>
      <c r="J128" s="3" t="str">
        <f t="shared" si="3"/>
        <v>((SELECT fish_id FROM fishing.t_fish WHERE fish_name = 'Roundel Sunfish'),'Crab-eyes Sunfish','This fish's eyes become protruding like a crab's eyes; it comes out of its socket and can rotate 360°. Some scholars think that it uses its eyes to check the surrounding area for food.',0.4,0.3,0.9,10,19),</v>
      </c>
    </row>
    <row r="129" spans="1:10" ht="27.6" x14ac:dyDescent="0.25">
      <c r="A129" s="12" t="s">
        <v>216</v>
      </c>
      <c r="B129" s="12" t="s">
        <v>923</v>
      </c>
      <c r="C129" s="13" t="s">
        <v>214</v>
      </c>
      <c r="D129" s="13" t="s">
        <v>198</v>
      </c>
      <c r="E129" s="13" t="s">
        <v>343</v>
      </c>
      <c r="F129" s="13">
        <v>9</v>
      </c>
      <c r="G129" s="13">
        <v>16</v>
      </c>
      <c r="H129" s="14" t="s">
        <v>924</v>
      </c>
      <c r="I129" s="3" t="str">
        <f t="shared" si="2"/>
        <v>SELECT fish_id FROM fishing.t_fish WHERE fish_name = 'Roundel Sunfish'</v>
      </c>
      <c r="J129" s="3" t="str">
        <f t="shared" si="3"/>
        <v>((SELECT fish_id FROM fishing.t_fish WHERE fish_name = 'Roundel Sunfish'),'Shield Sunfish','The shape of this fish closely resembles a heater shield, even though its body or even scale is not as hard as a shield.',0.6,0.2,0.7,9,16),</v>
      </c>
    </row>
    <row r="130" spans="1:10" ht="41.4" x14ac:dyDescent="0.25">
      <c r="A130" s="12" t="s">
        <v>26</v>
      </c>
      <c r="B130" s="12" t="s">
        <v>929</v>
      </c>
      <c r="C130" s="13" t="s">
        <v>205</v>
      </c>
      <c r="D130" s="13">
        <v>7</v>
      </c>
      <c r="E130" s="13">
        <v>20</v>
      </c>
      <c r="F130" s="13">
        <v>10</v>
      </c>
      <c r="G130" s="13">
        <v>85</v>
      </c>
      <c r="H130" s="14" t="s">
        <v>930</v>
      </c>
      <c r="I130" s="3" t="str">
        <f t="shared" si="2"/>
        <v>SELECT fish_id FROM fishing.t_fish WHERE fish_name = 'Rainbow Trout'</v>
      </c>
      <c r="J130" s="3" t="str">
        <f t="shared" si="3"/>
        <v>((SELECT fish_id FROM fishing.t_fish WHERE fish_name = 'Rainbow Trout'),'Fish-sack Trout','When this trout was in an alevin stage, it did not absorb the yolk and continued to grow with it, making it an emergency food source. Because of this, a lot of predators are attracted to the yolk and hunt them.',0.3,7,20,10,85),</v>
      </c>
    </row>
    <row r="131" spans="1:10" ht="27.6" x14ac:dyDescent="0.25">
      <c r="A131" s="12" t="s">
        <v>26</v>
      </c>
      <c r="B131" s="12" t="s">
        <v>927</v>
      </c>
      <c r="C131" s="13" t="s">
        <v>343</v>
      </c>
      <c r="D131" s="13">
        <v>5</v>
      </c>
      <c r="E131" s="13">
        <v>18</v>
      </c>
      <c r="F131" s="13">
        <v>24</v>
      </c>
      <c r="G131" s="13">
        <v>80</v>
      </c>
      <c r="H131" s="14" t="s">
        <v>928</v>
      </c>
      <c r="I131" s="3" t="str">
        <f t="shared" ref="I131:I194" si="4">_xlfn.CONCAT("SELECT fish_id FROM fishing.t_fish WHERE fish_name = '",A131,"'")</f>
        <v>SELECT fish_id FROM fishing.t_fish WHERE fish_name = 'Rainbow Trout'</v>
      </c>
      <c r="J131" s="3" t="str">
        <f t="shared" ref="J131:J194" si="5">_xlfn.CONCAT("((",I131,"),","'",B131,"',","'",H131,"',",C131,",",D131,",",E131,",",F131,",",G131,"),")</f>
        <v>((SELECT fish_id FROM fishing.t_fish WHERE fish_name = 'Rainbow Trout'),'Crystal Trout','The scale of this fish gleams under the sunlight, but because of this, the scale is really brittle and really easy to break; just a scrape of a knife will make the scale break and be removed.',0.7,5,18,24,80),</v>
      </c>
    </row>
    <row r="132" spans="1:10" ht="27.6" x14ac:dyDescent="0.25">
      <c r="A132" s="12" t="s">
        <v>325</v>
      </c>
      <c r="B132" s="12" t="s">
        <v>933</v>
      </c>
      <c r="C132" s="13" t="s">
        <v>213</v>
      </c>
      <c r="D132" s="13" t="s">
        <v>28</v>
      </c>
      <c r="E132" s="13" t="s">
        <v>671</v>
      </c>
      <c r="F132" s="13">
        <v>14</v>
      </c>
      <c r="G132" s="13">
        <v>46</v>
      </c>
      <c r="H132" s="14" t="s">
        <v>934</v>
      </c>
      <c r="I132" s="3" t="str">
        <f t="shared" si="4"/>
        <v>SELECT fish_id FROM fishing.t_fish WHERE fish_name = 'Hvitar Trout'</v>
      </c>
      <c r="J132" s="3" t="str">
        <f t="shared" si="5"/>
        <v>((SELECT fish_id FROM fishing.t_fish WHERE fish_name = 'Hvitar Trout'),'Ice Digger Trout','The tip of its mouth is hard like a bone. Scholars suggest that this tip is used by the fish to dig into the ice, and when inside the ice, it will make the surrounding ice melt using heat from mana.',0.1,1.5,3.5,14,46),</v>
      </c>
    </row>
    <row r="133" spans="1:10" ht="27.6" x14ac:dyDescent="0.25">
      <c r="A133" s="12" t="s">
        <v>325</v>
      </c>
      <c r="B133" s="12" t="s">
        <v>931</v>
      </c>
      <c r="C133" s="13" t="s">
        <v>201</v>
      </c>
      <c r="D133" s="13">
        <v>2</v>
      </c>
      <c r="E133" s="13">
        <v>4</v>
      </c>
      <c r="F133" s="13">
        <v>20</v>
      </c>
      <c r="G133" s="13">
        <v>60</v>
      </c>
      <c r="H133" s="14" t="s">
        <v>932</v>
      </c>
      <c r="I133" s="3" t="str">
        <f t="shared" si="4"/>
        <v>SELECT fish_id FROM fishing.t_fish WHERE fish_name = 'Hvitar Trout'</v>
      </c>
      <c r="J133" s="3" t="str">
        <f t="shared" si="5"/>
        <v>((SELECT fish_id FROM fishing.t_fish WHERE fish_name = 'Hvitar Trout'),'Spike Trout','A spike grows all over its body where the black spots are supposed to be; the spike protected the trout from all predators trying to eat it.',0.9,2,4,20,60),</v>
      </c>
    </row>
    <row r="134" spans="1:10" ht="27.6" x14ac:dyDescent="0.25">
      <c r="A134" s="12" t="s">
        <v>166</v>
      </c>
      <c r="B134" s="12" t="s">
        <v>937</v>
      </c>
      <c r="C134" s="13" t="s">
        <v>195</v>
      </c>
      <c r="D134" s="13">
        <v>9</v>
      </c>
      <c r="E134" s="13">
        <v>38</v>
      </c>
      <c r="F134" s="13">
        <v>19</v>
      </c>
      <c r="G134" s="13">
        <v>102</v>
      </c>
      <c r="H134" s="14" t="s">
        <v>959</v>
      </c>
      <c r="I134" s="3" t="str">
        <f t="shared" si="4"/>
        <v>SELECT fish_id FROM fishing.t_fish WHERE fish_name = 'Lake Trout'</v>
      </c>
      <c r="J134" s="3" t="str">
        <f t="shared" si="5"/>
        <v>((SELECT fish_id FROM fishing.t_fish WHERE fish_name = 'Lake Trout'),'Dried Trout','This trout lost almost all the water inside its body instantly when brought up from the water. Scholars thought that this phenomenon happens because its mana becomes dependent on water.',0.4,9,38,19,102),</v>
      </c>
    </row>
    <row r="135" spans="1:10" ht="27.6" x14ac:dyDescent="0.25">
      <c r="A135" s="12" t="s">
        <v>166</v>
      </c>
      <c r="B135" s="12" t="s">
        <v>935</v>
      </c>
      <c r="C135" s="13" t="s">
        <v>214</v>
      </c>
      <c r="D135" s="13">
        <v>12</v>
      </c>
      <c r="E135" s="13">
        <v>42</v>
      </c>
      <c r="F135" s="13">
        <v>21</v>
      </c>
      <c r="G135" s="13">
        <v>125</v>
      </c>
      <c r="H135" s="14" t="s">
        <v>936</v>
      </c>
      <c r="I135" s="3" t="str">
        <f t="shared" si="4"/>
        <v>SELECT fish_id FROM fishing.t_fish WHERE fish_name = 'Lake Trout'</v>
      </c>
      <c r="J135" s="3" t="str">
        <f t="shared" si="5"/>
        <v>((SELECT fish_id FROM fishing.t_fish WHERE fish_name = 'Lake Trout'),'Orchid Trout','The gill of this fish can be spread open and scare off predators that come too close, and this gill has been speculated to be a mating ritual.',0.6,12,42,21,125),</v>
      </c>
    </row>
    <row r="136" spans="1:10" ht="27.6" x14ac:dyDescent="0.25">
      <c r="A136" s="12" t="s">
        <v>30</v>
      </c>
      <c r="B136" s="12" t="s">
        <v>940</v>
      </c>
      <c r="C136" s="13" t="s">
        <v>205</v>
      </c>
      <c r="D136" s="13" t="s">
        <v>295</v>
      </c>
      <c r="E136" s="13" t="s">
        <v>342</v>
      </c>
      <c r="F136" s="13">
        <v>12</v>
      </c>
      <c r="G136" s="13">
        <v>32</v>
      </c>
      <c r="H136" s="14" t="s">
        <v>945</v>
      </c>
      <c r="I136" s="3" t="str">
        <f t="shared" si="4"/>
        <v>SELECT fish_id FROM fishing.t_fish WHERE fish_name = 'Aurora Trout'</v>
      </c>
      <c r="J136" s="3" t="str">
        <f t="shared" si="5"/>
        <v>((SELECT fish_id FROM fishing.t_fish WHERE fish_name = 'Aurora Trout'),'Paralysis Trout','Fishermen and scholars alike warn people from even touching this fish; its skin can paralyze people if held for too long, and the effect of the paralysis can last for one day or sometimes days.',0.3,1.3,3.2,12,32),</v>
      </c>
    </row>
    <row r="137" spans="1:10" ht="27.6" x14ac:dyDescent="0.25">
      <c r="A137" s="12" t="s">
        <v>30</v>
      </c>
      <c r="B137" s="12" t="s">
        <v>939</v>
      </c>
      <c r="C137" s="13" t="s">
        <v>343</v>
      </c>
      <c r="D137" s="13" t="s">
        <v>840</v>
      </c>
      <c r="E137" s="13" t="s">
        <v>938</v>
      </c>
      <c r="F137" s="13">
        <v>9</v>
      </c>
      <c r="G137" s="13">
        <v>28</v>
      </c>
      <c r="H137" s="14" t="s">
        <v>956</v>
      </c>
      <c r="I137" s="3" t="str">
        <f t="shared" si="4"/>
        <v>SELECT fish_id FROM fishing.t_fish WHERE fish_name = 'Aurora Trout'</v>
      </c>
      <c r="J137" s="3" t="str">
        <f t="shared" si="5"/>
        <v>((SELECT fish_id FROM fishing.t_fish WHERE fish_name = 'Aurora Trout'),'Bladefin Trout','The fins have evolved into a blade that they use to slice open their prey or predator. Its will swim in a circle of their prey and slice them repeatedly.',0.7,1.4,2.8,9,28),</v>
      </c>
    </row>
    <row r="138" spans="1:10" ht="27.6" x14ac:dyDescent="0.25">
      <c r="A138" s="12" t="s">
        <v>322</v>
      </c>
      <c r="B138" s="12" t="s">
        <v>946</v>
      </c>
      <c r="C138" s="13" t="s">
        <v>198</v>
      </c>
      <c r="D138" s="13" t="s">
        <v>343</v>
      </c>
      <c r="E138" s="13" t="s">
        <v>840</v>
      </c>
      <c r="F138" s="13">
        <v>14</v>
      </c>
      <c r="G138" s="13">
        <v>41</v>
      </c>
      <c r="H138" s="14" t="s">
        <v>947</v>
      </c>
      <c r="I138" s="3" t="str">
        <f t="shared" si="4"/>
        <v>SELECT fish_id FROM fishing.t_fish WHERE fish_name = 'Prasinos Cutthroat Trout'</v>
      </c>
      <c r="J138" s="3" t="str">
        <f t="shared" si="5"/>
        <v>((SELECT fish_id FROM fishing.t_fish WHERE fish_name = 'Prasinos Cutthroat Trout'),'Mead Trout','Its flesh has a nice, sweet taste when just grilling it on an open fire; some people even reported that they have a slight hangover the next day they eat this fish.',0.2,0.7,1.4,14,41),</v>
      </c>
    </row>
    <row r="139" spans="1:10" ht="27.6" x14ac:dyDescent="0.25">
      <c r="A139" s="12" t="s">
        <v>322</v>
      </c>
      <c r="B139" s="12" t="s">
        <v>943</v>
      </c>
      <c r="C139" s="13" t="s">
        <v>208</v>
      </c>
      <c r="D139" s="13" t="s">
        <v>214</v>
      </c>
      <c r="E139" s="13" t="s">
        <v>719</v>
      </c>
      <c r="F139" s="13">
        <v>16</v>
      </c>
      <c r="G139" s="13">
        <v>46</v>
      </c>
      <c r="H139" s="14" t="s">
        <v>944</v>
      </c>
      <c r="I139" s="3" t="str">
        <f t="shared" si="4"/>
        <v>SELECT fish_id FROM fishing.t_fish WHERE fish_name = 'Prasinos Cutthroat Trout'</v>
      </c>
      <c r="J139" s="3" t="str">
        <f t="shared" si="5"/>
        <v>((SELECT fish_id FROM fishing.t_fish WHERE fish_name = 'Prasinos Cutthroat Trout'),'Glass-skin Trout','The skin of this trout is so thin that you can see through the flesh of the fish; some people call this fish a skinless fish because of how thin the skin is.',0.8,0.6,1.6,16,46),</v>
      </c>
    </row>
    <row r="140" spans="1:10" ht="27.6" x14ac:dyDescent="0.25">
      <c r="A140" s="12" t="s">
        <v>161</v>
      </c>
      <c r="B140" s="12" t="s">
        <v>949</v>
      </c>
      <c r="C140" s="13" t="s">
        <v>205</v>
      </c>
      <c r="D140" s="13" t="s">
        <v>256</v>
      </c>
      <c r="E140" s="13" t="s">
        <v>950</v>
      </c>
      <c r="F140" s="13" t="s">
        <v>951</v>
      </c>
      <c r="G140" s="13" t="s">
        <v>952</v>
      </c>
      <c r="H140" s="14" t="s">
        <v>953</v>
      </c>
      <c r="I140" s="3" t="str">
        <f t="shared" si="4"/>
        <v>SELECT fish_id FROM fishing.t_fish WHERE fish_name = 'Golden Trout'</v>
      </c>
      <c r="J140" s="3" t="str">
        <f t="shared" si="5"/>
        <v>((SELECT fish_id FROM fishing.t_fish WHERE fish_name = 'Golden Trout'),'Pure Gold Trout','Noble from Rosegleam absolutely adores this fish for its golden coloration on its body. This fish is always an offering to the High Sovereign's birthday.',0.3,1.2,5.4,15.6,33.4),</v>
      </c>
    </row>
    <row r="141" spans="1:10" ht="27.6" x14ac:dyDescent="0.25">
      <c r="A141" s="12" t="s">
        <v>161</v>
      </c>
      <c r="B141" s="12" t="s">
        <v>948</v>
      </c>
      <c r="C141" s="13" t="s">
        <v>343</v>
      </c>
      <c r="D141" s="13">
        <v>2</v>
      </c>
      <c r="E141" s="13">
        <v>6</v>
      </c>
      <c r="F141" s="13">
        <v>13</v>
      </c>
      <c r="G141" s="13">
        <v>32</v>
      </c>
      <c r="H141" s="14" t="s">
        <v>955</v>
      </c>
      <c r="I141" s="3" t="str">
        <f t="shared" si="4"/>
        <v>SELECT fish_id FROM fishing.t_fish WHERE fish_name = 'Golden Trout'</v>
      </c>
      <c r="J141" s="3" t="str">
        <f t="shared" si="5"/>
        <v>((SELECT fish_id FROM fishing.t_fish WHERE fish_name = 'Golden Trout'),'Golden-vein Trout','Its pronounced white body makes the golden vein around its body can be seen with the naked eye, some people believe that its blood also contains gold.',0.7,2,6,13,32),</v>
      </c>
    </row>
    <row r="142" spans="1:10" ht="41.4" x14ac:dyDescent="0.25">
      <c r="A142" s="12" t="s">
        <v>22</v>
      </c>
      <c r="B142" s="12" t="s">
        <v>1038</v>
      </c>
      <c r="C142" s="13" t="s">
        <v>27</v>
      </c>
      <c r="D142" s="13" t="s">
        <v>400</v>
      </c>
      <c r="E142" s="13">
        <v>7</v>
      </c>
      <c r="F142" s="13">
        <v>21</v>
      </c>
      <c r="G142" s="13">
        <v>60</v>
      </c>
      <c r="H142" s="14" t="s">
        <v>1039</v>
      </c>
      <c r="I142" s="3" t="str">
        <f t="shared" si="4"/>
        <v>SELECT fish_id FROM fishing.t_fish WHERE fish_name = 'Brook Trout'</v>
      </c>
      <c r="J142" s="3" t="str">
        <f t="shared" si="5"/>
        <v>((SELECT fish_id FROM fishing.t_fish WHERE fish_name = 'Brook Trout'),'Void-eyes Trout','This trout eye lost all the luster that a living animal has; some fishermen think that this fish is blind the first time they saw it, but after the scholar checks it, the fish can swim normally without any problem.',0.5,2.3,7,21,60),</v>
      </c>
    </row>
    <row r="143" spans="1:10" ht="27.6" x14ac:dyDescent="0.25">
      <c r="A143" s="12" t="s">
        <v>22</v>
      </c>
      <c r="B143" s="12" t="s">
        <v>957</v>
      </c>
      <c r="C143" s="13" t="s">
        <v>27</v>
      </c>
      <c r="D143" s="13">
        <v>3</v>
      </c>
      <c r="E143" s="13">
        <v>8</v>
      </c>
      <c r="F143" s="13">
        <v>22</v>
      </c>
      <c r="G143" s="13">
        <v>65</v>
      </c>
      <c r="H143" s="14" t="s">
        <v>958</v>
      </c>
      <c r="I143" s="3" t="str">
        <f t="shared" si="4"/>
        <v>SELECT fish_id FROM fishing.t_fish WHERE fish_name = 'Brook Trout'</v>
      </c>
      <c r="J143" s="3" t="str">
        <f t="shared" si="5"/>
        <v>((SELECT fish_id FROM fishing.t_fish WHERE fish_name = 'Brook Trout'),'Hammer-tail Trout','The top of its tail has a rigid bone that it uses to fight other trout and predators. But, because of the extra weight of the tail, this fish has difficulty swimming normally.',0.5,3,8,22,65),</v>
      </c>
    </row>
    <row r="144" spans="1:10" ht="41.4" x14ac:dyDescent="0.25">
      <c r="A144" s="12" t="s">
        <v>1040</v>
      </c>
      <c r="B144" s="12" t="s">
        <v>1043</v>
      </c>
      <c r="C144" s="13" t="s">
        <v>208</v>
      </c>
      <c r="D144" s="13" t="s">
        <v>256</v>
      </c>
      <c r="E144" s="13" t="s">
        <v>342</v>
      </c>
      <c r="F144" s="13">
        <v>21</v>
      </c>
      <c r="G144" s="13">
        <v>47</v>
      </c>
      <c r="H144" s="14" t="s">
        <v>1044</v>
      </c>
      <c r="I144" s="3" t="str">
        <f t="shared" si="4"/>
        <v>SELECT fish_id FROM fishing.t_fish WHERE fish_name = 'Clearwater Cutthroat Trout'</v>
      </c>
      <c r="J144" s="3" t="str">
        <f t="shared" si="5"/>
        <v>((SELECT fish_id FROM fishing.t_fish WHERE fish_name = 'Clearwater Cutthroat Trout'),'Fat Lump Trout','Scholars around Seran suggest that this is the older form of Purification Trout because of the similarity between them. They speculate that this fish is the result of excessive filtering of the water, causing the fish to grow fat lumps around its body.',0.8,1.2,3.2,21,47),</v>
      </c>
    </row>
    <row r="145" spans="1:10" ht="27.6" x14ac:dyDescent="0.25">
      <c r="A145" s="12" t="s">
        <v>1040</v>
      </c>
      <c r="B145" s="12" t="s">
        <v>1041</v>
      </c>
      <c r="C145" s="13" t="s">
        <v>198</v>
      </c>
      <c r="D145" s="13" t="s">
        <v>840</v>
      </c>
      <c r="E145" s="13" t="s">
        <v>1042</v>
      </c>
      <c r="F145" s="13">
        <v>18</v>
      </c>
      <c r="G145" s="13">
        <v>49</v>
      </c>
      <c r="H145" s="14" t="s">
        <v>1045</v>
      </c>
      <c r="I145" s="3" t="str">
        <f t="shared" si="4"/>
        <v>SELECT fish_id FROM fishing.t_fish WHERE fish_name = 'Clearwater Cutthroat Trout'</v>
      </c>
      <c r="J145" s="3" t="str">
        <f t="shared" si="5"/>
        <v>((SELECT fish_id FROM fishing.t_fish WHERE fish_name = 'Clearwater Cutthroat Trout'),'Purification Trout','Whenever this fish lives in the body of water, the water will always appear clean and clear. Scholars speculate that maybe the fish filter all the water around it and purify it.',0.2,1.4,2.7,18,49),</v>
      </c>
    </row>
    <row r="146" spans="1:10" ht="34.799999999999997" customHeight="1" x14ac:dyDescent="0.25">
      <c r="A146" s="12" t="s">
        <v>326</v>
      </c>
      <c r="B146" s="12" t="s">
        <v>1050</v>
      </c>
      <c r="C146" s="13" t="s">
        <v>205</v>
      </c>
      <c r="D146" s="13" t="s">
        <v>256</v>
      </c>
      <c r="E146" s="13" t="s">
        <v>1049</v>
      </c>
      <c r="F146" s="13">
        <v>12</v>
      </c>
      <c r="G146" s="13">
        <v>50</v>
      </c>
      <c r="H146" s="14" t="s">
        <v>1051</v>
      </c>
      <c r="I146" s="3" t="str">
        <f t="shared" si="4"/>
        <v>SELECT fish_id FROM fishing.t_fish WHERE fish_name = 'Yakad Trout'</v>
      </c>
      <c r="J146" s="3" t="str">
        <f t="shared" si="5"/>
        <v>((SELECT fish_id FROM fishing.t_fish WHERE fish_name = 'Yakad Trout'),'Vein-gill Trout','This fish's gills extend outward from its body, giving it a plant-like appearance, as if its gills are growing out of its body. Scholars have no idea why it was evolving like this.',0.3,1.2,2.9,12,50),</v>
      </c>
    </row>
    <row r="147" spans="1:10" ht="27.6" x14ac:dyDescent="0.25">
      <c r="A147" s="12" t="s">
        <v>326</v>
      </c>
      <c r="B147" s="12" t="s">
        <v>1046</v>
      </c>
      <c r="C147" s="13" t="s">
        <v>343</v>
      </c>
      <c r="D147" s="13" t="s">
        <v>637</v>
      </c>
      <c r="E147" s="13" t="s">
        <v>1047</v>
      </c>
      <c r="F147" s="13">
        <v>17</v>
      </c>
      <c r="G147" s="13">
        <v>53</v>
      </c>
      <c r="H147" s="14" t="s">
        <v>1048</v>
      </c>
      <c r="I147" s="3" t="str">
        <f t="shared" si="4"/>
        <v>SELECT fish_id FROM fishing.t_fish WHERE fish_name = 'Yakad Trout'</v>
      </c>
      <c r="J147" s="3" t="str">
        <f t="shared" si="5"/>
        <v>((SELECT fish_id FROM fishing.t_fish WHERE fish_name = 'Yakad Trout'),'Bonehead Trout','A thick bone will form on top of its head; the older it gets, the more it will cover its entire head when the fish is old enough.',0.7,1.7,3.4,17,53),</v>
      </c>
    </row>
    <row r="148" spans="1:10" ht="41.4" x14ac:dyDescent="0.25">
      <c r="A148" s="12" t="s">
        <v>162</v>
      </c>
      <c r="B148" s="12" t="s">
        <v>1054</v>
      </c>
      <c r="C148" s="13" t="s">
        <v>198</v>
      </c>
      <c r="D148" s="13" t="s">
        <v>1055</v>
      </c>
      <c r="E148" s="13" t="s">
        <v>1056</v>
      </c>
      <c r="F148" s="13">
        <v>28</v>
      </c>
      <c r="G148" s="13">
        <v>112</v>
      </c>
      <c r="H148" s="14" t="s">
        <v>1057</v>
      </c>
      <c r="I148" s="3" t="str">
        <f t="shared" si="4"/>
        <v>SELECT fish_id FROM fishing.t_fish WHERE fish_name = 'Marbled Trout'</v>
      </c>
      <c r="J148" s="3" t="str">
        <f t="shared" si="5"/>
        <v>((SELECT fish_id FROM fishing.t_fish WHERE fish_name = 'Marbled Trout'),'Tar Trout','When this fish flesh and bone are cooked for a long time, it will produce a thick, viscous liquid that has a similar consistency to wood tar. Sailors on Tidehaven even used this liquid to coat their sails and ropes.',0.2,9.3,32.1,28,112),</v>
      </c>
    </row>
    <row r="149" spans="1:10" ht="41.4" x14ac:dyDescent="0.25">
      <c r="A149" s="12" t="s">
        <v>162</v>
      </c>
      <c r="B149" s="12" t="s">
        <v>1052</v>
      </c>
      <c r="C149" s="13" t="s">
        <v>208</v>
      </c>
      <c r="D149" s="13">
        <v>6</v>
      </c>
      <c r="E149" s="13">
        <v>29</v>
      </c>
      <c r="F149" s="13">
        <v>27</v>
      </c>
      <c r="G149" s="13">
        <v>105</v>
      </c>
      <c r="H149" s="14" t="s">
        <v>1053</v>
      </c>
      <c r="I149" s="3" t="str">
        <f t="shared" si="4"/>
        <v>SELECT fish_id FROM fishing.t_fish WHERE fish_name = 'Marbled Trout'</v>
      </c>
      <c r="J149" s="3" t="str">
        <f t="shared" si="5"/>
        <v>((SELECT fish_id FROM fishing.t_fish WHERE fish_name = 'Marbled Trout'),'Blackblood Trout','The entire flesh and blood of this fish is lacking any color whatsoever make it appear to be black. Scholars think the mana eats all the color out of this fish, making it almost colorless and appearing black.',0.8,6,29,27,105),</v>
      </c>
    </row>
    <row r="150" spans="1:10" ht="41.4" x14ac:dyDescent="0.25">
      <c r="A150" s="12" t="s">
        <v>288</v>
      </c>
      <c r="B150" s="12" t="s">
        <v>1060</v>
      </c>
      <c r="C150" s="13" t="s">
        <v>195</v>
      </c>
      <c r="D150" s="13" t="s">
        <v>195</v>
      </c>
      <c r="E150" s="13" t="s">
        <v>201</v>
      </c>
      <c r="F150" s="13" t="s">
        <v>32</v>
      </c>
      <c r="G150" s="13">
        <v>13</v>
      </c>
      <c r="H150" s="14" t="s">
        <v>1061</v>
      </c>
      <c r="I150" s="3" t="str">
        <f t="shared" si="4"/>
        <v>SELECT fish_id FROM fishing.t_fish WHERE fish_name = 'Common Clownfish'</v>
      </c>
      <c r="J150" s="3" t="str">
        <f t="shared" si="5"/>
        <v>((SELECT fish_id FROM fishing.t_fish WHERE fish_name = 'Common Clownfish'),'Fanged Clownfish','Its fang is protruding from its mouth, making it look menacing for a small fish. The behavior of this fish also become hyper aggressive when protecting its eggs; it will patrol around its eggs and attack anything that comes close to its eggs.',0.4,0.4,0.9,1.1,13),</v>
      </c>
    </row>
    <row r="151" spans="1:10" ht="41.4" x14ac:dyDescent="0.25">
      <c r="A151" s="12" t="s">
        <v>288</v>
      </c>
      <c r="B151" s="12" t="s">
        <v>1058</v>
      </c>
      <c r="C151" s="13" t="s">
        <v>214</v>
      </c>
      <c r="D151" s="13" t="s">
        <v>27</v>
      </c>
      <c r="E151" s="13">
        <v>1</v>
      </c>
      <c r="F151" s="13" t="s">
        <v>256</v>
      </c>
      <c r="G151" s="13">
        <v>14</v>
      </c>
      <c r="H151" s="14" t="s">
        <v>1059</v>
      </c>
      <c r="I151" s="3" t="str">
        <f t="shared" si="4"/>
        <v>SELECT fish_id FROM fishing.t_fish WHERE fish_name = 'Common Clownfish'</v>
      </c>
      <c r="J151" s="3" t="str">
        <f t="shared" si="5"/>
        <v>((SELECT fish_id FROM fishing.t_fish WHERE fish_name = 'Common Clownfish'),'Paralyzing Clownfish','Its scales contain a certain venom that you can find on sea anemone, the venom will make individual that touch it have severe pain, blistering, and then be paralyzed for a couple of hours or days.',0.6,0.5,1,1.2,14),</v>
      </c>
    </row>
    <row r="152" spans="1:10" ht="27.6" x14ac:dyDescent="0.25">
      <c r="A152" s="12" t="s">
        <v>303</v>
      </c>
      <c r="B152" s="12" t="s">
        <v>1064</v>
      </c>
      <c r="C152" s="13" t="s">
        <v>195</v>
      </c>
      <c r="D152" s="13">
        <v>15</v>
      </c>
      <c r="E152" s="13">
        <v>43</v>
      </c>
      <c r="F152" s="13">
        <v>45</v>
      </c>
      <c r="G152" s="13">
        <v>230</v>
      </c>
      <c r="H152" s="14" t="s">
        <v>1065</v>
      </c>
      <c r="I152" s="3" t="str">
        <f t="shared" si="4"/>
        <v>SELECT fish_id FROM fishing.t_fish WHERE fish_name = 'Great Barracuda'</v>
      </c>
      <c r="J152" s="3" t="str">
        <f t="shared" si="5"/>
        <v>((SELECT fish_id FROM fishing.t_fish WHERE fish_name = 'Great Barracuda'),'Crushing Jaw Barracuda','The jaw of this barracuda is so strong that it can bite through a bone almost effortlessly. This fish is seen by fishermen chasing and biting on a turtle shell out in the open, trying to eat it.',0.4,15,43,45,230),</v>
      </c>
    </row>
    <row r="153" spans="1:10" ht="27.6" x14ac:dyDescent="0.25">
      <c r="A153" s="12" t="s">
        <v>303</v>
      </c>
      <c r="B153" s="12" t="s">
        <v>1062</v>
      </c>
      <c r="C153" s="13" t="s">
        <v>214</v>
      </c>
      <c r="D153" s="13">
        <v>12</v>
      </c>
      <c r="E153" s="13">
        <v>50</v>
      </c>
      <c r="F153" s="13">
        <v>120</v>
      </c>
      <c r="G153" s="13">
        <v>350</v>
      </c>
      <c r="H153" s="14" t="s">
        <v>1063</v>
      </c>
      <c r="I153" s="3" t="str">
        <f t="shared" si="4"/>
        <v>SELECT fish_id FROM fishing.t_fish WHERE fish_name = 'Great Barracuda'</v>
      </c>
      <c r="J153" s="3" t="str">
        <f t="shared" si="5"/>
        <v>((SELECT fish_id FROM fishing.t_fish WHERE fish_name = 'Great Barracuda'),'Serpentine Barracuda','The body of this barracuda becomes so long that it will swim almost like a snake. Some fishermen even mistake this fish for a big snake when they first encounter it.',0.6,12,50,120,350),</v>
      </c>
    </row>
    <row r="154" spans="1:10" ht="41.4" x14ac:dyDescent="0.25">
      <c r="A154" s="12" t="s">
        <v>353</v>
      </c>
      <c r="B154" s="12" t="s">
        <v>1068</v>
      </c>
      <c r="C154" s="13" t="s">
        <v>205</v>
      </c>
      <c r="D154" s="13">
        <v>13</v>
      </c>
      <c r="E154" s="13">
        <v>53</v>
      </c>
      <c r="F154" s="13">
        <v>38</v>
      </c>
      <c r="G154" s="13">
        <v>103</v>
      </c>
      <c r="H154" s="14" t="s">
        <v>1069</v>
      </c>
      <c r="I154" s="3" t="str">
        <f t="shared" si="4"/>
        <v>SELECT fish_id FROM fishing.t_fish WHERE fish_name = 'Striped Bass'</v>
      </c>
      <c r="J154" s="3" t="str">
        <f t="shared" si="5"/>
        <v>((SELECT fish_id FROM fishing.t_fish WHERE fish_name = 'Striped Bass'),'Horn Bass','A single horn grows on top of its head, a weapon to defend itself, and a tool to attract the male of the species. The female is the only fish that have horn on top of the head, the male only have tiny bump on top of its head.',0.3,13,53,38,103),</v>
      </c>
    </row>
    <row r="155" spans="1:10" ht="27.6" x14ac:dyDescent="0.25">
      <c r="A155" s="12" t="s">
        <v>353</v>
      </c>
      <c r="B155" s="12" t="s">
        <v>1066</v>
      </c>
      <c r="C155" s="13" t="s">
        <v>343</v>
      </c>
      <c r="D155" s="13">
        <v>15</v>
      </c>
      <c r="E155" s="13">
        <v>50</v>
      </c>
      <c r="F155" s="13">
        <v>30</v>
      </c>
      <c r="G155" s="13">
        <v>115</v>
      </c>
      <c r="H155" s="14" t="s">
        <v>1067</v>
      </c>
      <c r="I155" s="3" t="str">
        <f t="shared" si="4"/>
        <v>SELECT fish_id FROM fishing.t_fish WHERE fish_name = 'Striped Bass'</v>
      </c>
      <c r="J155" s="3" t="str">
        <f t="shared" si="5"/>
        <v>((SELECT fish_id FROM fishing.t_fish WHERE fish_name = 'Striped Bass'),'Bone Ridge Bass','A bone grows out on their scale where the stripe is supposed to be; it will make the fish have a natural armor around its body, making predators have a hard time to eat it.',0.7,15,50,30,115),</v>
      </c>
    </row>
    <row r="156" spans="1:10" ht="41.4" x14ac:dyDescent="0.25">
      <c r="A156" s="12" t="s">
        <v>306</v>
      </c>
      <c r="B156" s="12" t="s">
        <v>1071</v>
      </c>
      <c r="C156" s="13" t="s">
        <v>198</v>
      </c>
      <c r="D156" s="13">
        <v>125</v>
      </c>
      <c r="E156" s="13">
        <v>675</v>
      </c>
      <c r="F156" s="13">
        <v>115</v>
      </c>
      <c r="G156" s="13">
        <v>460</v>
      </c>
      <c r="H156" s="14" t="s">
        <v>1072</v>
      </c>
      <c r="I156" s="3" t="str">
        <f t="shared" si="4"/>
        <v>SELECT fish_id FROM fishing.t_fish WHERE fish_name = 'Swordfish'</v>
      </c>
      <c r="J156" s="3" t="str">
        <f t="shared" si="5"/>
        <v>((SELECT fish_id FROM fishing.t_fish WHERE fish_name = 'Swordfish'),'Lightning Swordfish','Fishermen tell a tale of a fish that swims so fast they think they saw a thunder moving underwater. The fishermen also said that sometimes they heard a loud noise coming from underwater, making some of them believe that the god of thunder himself was making that noise.',0.2,125,675,115,460),</v>
      </c>
    </row>
    <row r="157" spans="1:10" ht="41.4" x14ac:dyDescent="0.25">
      <c r="A157" s="12" t="s">
        <v>306</v>
      </c>
      <c r="B157" s="12" t="s">
        <v>1070</v>
      </c>
      <c r="C157" s="13" t="s">
        <v>208</v>
      </c>
      <c r="D157" s="13">
        <v>75</v>
      </c>
      <c r="E157" s="13">
        <v>550</v>
      </c>
      <c r="F157" s="13">
        <v>120</v>
      </c>
      <c r="G157" s="13">
        <v>425</v>
      </c>
      <c r="H157" s="14" t="s">
        <v>1081</v>
      </c>
      <c r="I157" s="3" t="str">
        <f t="shared" si="4"/>
        <v>SELECT fish_id FROM fishing.t_fish WHERE fish_name = 'Swordfish'</v>
      </c>
      <c r="J157" s="3" t="str">
        <f t="shared" si="5"/>
        <v>((SELECT fish_id FROM fishing.t_fish WHERE fish_name = 'Swordfish'),'Spathafish','The long upper jaw of this fish has mutated and resembles the long sword of Ourean soldiers. Its upper jaw has sometimes been used by Smith to forge a sword for mercenaries and sellswords alike.',0.8,75,550,120,425),</v>
      </c>
    </row>
    <row r="158" spans="1:10" ht="41.4" x14ac:dyDescent="0.25">
      <c r="A158" s="12" t="s">
        <v>367</v>
      </c>
      <c r="B158" s="12" t="s">
        <v>1074</v>
      </c>
      <c r="C158" s="13" t="s">
        <v>205</v>
      </c>
      <c r="D158" s="13">
        <v>80</v>
      </c>
      <c r="E158" s="13">
        <v>375</v>
      </c>
      <c r="F158" s="13">
        <v>45</v>
      </c>
      <c r="G158" s="13">
        <v>125</v>
      </c>
      <c r="H158" s="14" t="s">
        <v>1075</v>
      </c>
      <c r="I158" s="3" t="str">
        <f t="shared" si="4"/>
        <v>SELECT fish_id FROM fishing.t_fish WHERE fish_name = 'Sailfish'</v>
      </c>
      <c r="J158" s="3" t="str">
        <f t="shared" si="5"/>
        <v>((SELECT fish_id FROM fishing.t_fish WHERE fish_name = 'Sailfish'),'Chameleon Sailfish','Sailors around Tidehaven called this fish a chameleon because of its ability to change colors. Some of the fish that they brought upshore will always change color rapidly. Scholars think that this ability makes the fish able to ambush their prey.',0.3,80,375,45,125),</v>
      </c>
    </row>
    <row r="159" spans="1:10" ht="41.4" x14ac:dyDescent="0.25">
      <c r="A159" s="12" t="s">
        <v>367</v>
      </c>
      <c r="B159" s="12" t="s">
        <v>1073</v>
      </c>
      <c r="C159" s="13" t="s">
        <v>343</v>
      </c>
      <c r="D159" s="13">
        <v>65</v>
      </c>
      <c r="E159" s="13">
        <v>325</v>
      </c>
      <c r="F159" s="13">
        <v>50</v>
      </c>
      <c r="G159" s="13">
        <v>85</v>
      </c>
      <c r="H159" s="14" t="s">
        <v>1076</v>
      </c>
      <c r="I159" s="3" t="str">
        <f t="shared" si="4"/>
        <v>SELECT fish_id FROM fishing.t_fish WHERE fish_name = 'Sailfish'</v>
      </c>
      <c r="J159" s="3" t="str">
        <f t="shared" si="5"/>
        <v>((SELECT fish_id FROM fishing.t_fish WHERE fish_name = 'Sailfish'),'Sun Sailfish','When this fish hunts its prey, sometime they will blind them with the light that it produces on their upper fin. Scholars assumed that this phenomenon occurred when they channel their mana to their upper fin.',0.7,65,325,50,85),</v>
      </c>
    </row>
    <row r="160" spans="1:10" ht="41.4" x14ac:dyDescent="0.25">
      <c r="A160" s="12" t="s">
        <v>369</v>
      </c>
      <c r="B160" s="12" t="s">
        <v>1080</v>
      </c>
      <c r="C160" s="13" t="s">
        <v>205</v>
      </c>
      <c r="D160" s="13">
        <v>90</v>
      </c>
      <c r="E160" s="13">
        <v>650</v>
      </c>
      <c r="F160" s="13">
        <v>125</v>
      </c>
      <c r="G160" s="13">
        <v>325</v>
      </c>
      <c r="H160" s="14" t="s">
        <v>1082</v>
      </c>
      <c r="I160" s="3" t="str">
        <f t="shared" si="4"/>
        <v>SELECT fish_id FROM fishing.t_fish WHERE fish_name = 'Black Marlin'</v>
      </c>
      <c r="J160" s="3" t="str">
        <f t="shared" si="5"/>
        <v>((SELECT fish_id FROM fishing.t_fish WHERE fish_name = 'Black Marlin'),'Saw-Jaw Marlin','Its long upper jaw has a growth inward, making it resemble a saw and also making it really hard to pull out whenever this fish stabs its prey or predators. This fish also swims really fast make it able to drag a small boat for a long distance.',0.3,90,650,125,325),</v>
      </c>
    </row>
    <row r="161" spans="1:10" ht="27.6" x14ac:dyDescent="0.25">
      <c r="A161" s="12" t="s">
        <v>369</v>
      </c>
      <c r="B161" s="12" t="s">
        <v>1077</v>
      </c>
      <c r="C161" s="13" t="s">
        <v>343</v>
      </c>
      <c r="D161" s="13">
        <v>120</v>
      </c>
      <c r="E161" s="13">
        <v>750</v>
      </c>
      <c r="F161" s="13">
        <v>175</v>
      </c>
      <c r="G161" s="13">
        <v>500</v>
      </c>
      <c r="H161" s="14" t="s">
        <v>1078</v>
      </c>
      <c r="I161" s="3" t="str">
        <f t="shared" si="4"/>
        <v>SELECT fish_id FROM fishing.t_fish WHERE fish_name = 'Black Marlin'</v>
      </c>
      <c r="J161" s="3" t="str">
        <f t="shared" si="5"/>
        <v>((SELECT fish_id FROM fishing.t_fish WHERE fish_name = 'Black Marlin'),'Killer Marlin','This marlin is one of the most dangerous fish in the ocean. Whenever this fish is in the vicinity of a fishing boat, it will almost always attack the boat, and even tries to attack the fishermen.',0.7,120,750,175,500),</v>
      </c>
    </row>
    <row r="162" spans="1:10" ht="41.4" x14ac:dyDescent="0.25">
      <c r="A162" s="12" t="s">
        <v>191</v>
      </c>
      <c r="B162" s="12" t="s">
        <v>1087</v>
      </c>
      <c r="C162" s="13" t="s">
        <v>27</v>
      </c>
      <c r="D162" s="13">
        <v>1</v>
      </c>
      <c r="E162" s="13" t="s">
        <v>1088</v>
      </c>
      <c r="F162" s="13">
        <v>21</v>
      </c>
      <c r="G162" s="13">
        <v>51</v>
      </c>
      <c r="H162" s="14" t="s">
        <v>1089</v>
      </c>
      <c r="I162" s="3" t="str">
        <f t="shared" si="4"/>
        <v>SELECT fish_id FROM fishing.t_fish WHERE fish_name = 'Zebra Seabream'</v>
      </c>
      <c r="J162" s="3" t="str">
        <f t="shared" si="5"/>
        <v>((SELECT fish_id FROM fishing.t_fish WHERE fish_name = 'Zebra Seabream'),'Masked Seabream','The usual vertical pattern on this species becomes horizontal on this mutated seabream, making this fish look like it was wearing a mask around its face. This fish will patrol its home day and night, it will attack anything that comes close to its home.',0.5,1,3.1,21,51),</v>
      </c>
    </row>
    <row r="163" spans="1:10" ht="47.4" customHeight="1" x14ac:dyDescent="0.25">
      <c r="A163" s="12" t="s">
        <v>191</v>
      </c>
      <c r="B163" s="12" t="s">
        <v>1085</v>
      </c>
      <c r="C163" s="13" t="s">
        <v>27</v>
      </c>
      <c r="D163" s="13" t="s">
        <v>28</v>
      </c>
      <c r="E163" s="13" t="s">
        <v>671</v>
      </c>
      <c r="F163" s="13">
        <v>20</v>
      </c>
      <c r="G163" s="13">
        <v>50</v>
      </c>
      <c r="H163" s="14" t="s">
        <v>1086</v>
      </c>
      <c r="I163" s="3" t="str">
        <f t="shared" si="4"/>
        <v>SELECT fish_id FROM fishing.t_fish WHERE fish_name = 'Zebra Seabream'</v>
      </c>
      <c r="J163" s="3" t="str">
        <f t="shared" si="5"/>
        <v>((SELECT fish_id FROM fishing.t_fish WHERE fish_name = 'Zebra Seabream'),'Bald Seabream','This fish got its name because of the pattern on its head, making it look almost bald. Even though this fish is aggressive and always attacks whatever is near it, sailors still love this fish and sometimes release it again into the ocean because of its funny pattern.',0.5,1.5,3.5,20,50),</v>
      </c>
    </row>
    <row r="164" spans="1:10" ht="27.6" x14ac:dyDescent="0.25">
      <c r="A164" s="12" t="s">
        <v>181</v>
      </c>
      <c r="B164" s="12" t="s">
        <v>1091</v>
      </c>
      <c r="C164" s="13" t="s">
        <v>27</v>
      </c>
      <c r="D164" s="13" t="s">
        <v>295</v>
      </c>
      <c r="E164" s="13" t="s">
        <v>342</v>
      </c>
      <c r="F164" s="13">
        <v>18</v>
      </c>
      <c r="G164" s="13">
        <v>56</v>
      </c>
      <c r="H164" s="14" t="s">
        <v>1092</v>
      </c>
      <c r="I164" s="3" t="str">
        <f t="shared" si="4"/>
        <v>SELECT fish_id FROM fishing.t_fish WHERE fish_name = 'Two-bar Bream'</v>
      </c>
      <c r="J164" s="3" t="str">
        <f t="shared" si="5"/>
        <v>((SELECT fish_id FROM fishing.t_fish WHERE fish_name = 'Two-bar Bream'),'Shellcracker Bream','Its jaw has small but powerful teeth that can break the shell small shellfish; sometimes, the hook of the fishing rod will be bent because of this fish's teeth.',0.5,1.3,3.2,18,56),</v>
      </c>
    </row>
    <row r="165" spans="1:10" ht="41.4" x14ac:dyDescent="0.25">
      <c r="A165" s="12" t="s">
        <v>181</v>
      </c>
      <c r="B165" s="12" t="s">
        <v>1093</v>
      </c>
      <c r="C165" s="13" t="s">
        <v>27</v>
      </c>
      <c r="D165" s="13" t="s">
        <v>256</v>
      </c>
      <c r="E165" s="13" t="s">
        <v>938</v>
      </c>
      <c r="F165" s="13">
        <v>12</v>
      </c>
      <c r="G165" s="13">
        <v>52</v>
      </c>
      <c r="H165" s="14" t="s">
        <v>1090</v>
      </c>
      <c r="I165" s="3" t="str">
        <f t="shared" si="4"/>
        <v>SELECT fish_id FROM fishing.t_fish WHERE fish_name = 'Two-bar Bream'</v>
      </c>
      <c r="J165" s="3" t="str">
        <f t="shared" si="5"/>
        <v>((SELECT fish_id FROM fishing.t_fish WHERE fish_name = 'Two-bar Bream'),'Two Horn Bream','Two small horns grow on each side of the head. These tiny horns, speculated by Scholars to be a tool to attract the female bream because of how small this horn is, have almost no attacking capabilities.',0.5,1.2,2.8,12,52),</v>
      </c>
    </row>
    <row r="166" spans="1:10" ht="27.6" x14ac:dyDescent="0.25">
      <c r="A166" s="12" t="s">
        <v>188</v>
      </c>
      <c r="B166" s="12" t="s">
        <v>1097</v>
      </c>
      <c r="C166" s="13" t="s">
        <v>195</v>
      </c>
      <c r="D166" s="13" t="s">
        <v>27</v>
      </c>
      <c r="E166" s="13">
        <v>7</v>
      </c>
      <c r="F166" s="13">
        <v>12</v>
      </c>
      <c r="G166" s="13">
        <v>93</v>
      </c>
      <c r="H166" s="14" t="s">
        <v>1098</v>
      </c>
      <c r="I166" s="3" t="str">
        <f t="shared" si="4"/>
        <v>SELECT fish_id FROM fishing.t_fish WHERE fish_name = 'Red Seabream'</v>
      </c>
      <c r="J166" s="3" t="str">
        <f t="shared" si="5"/>
        <v>((SELECT fish_id FROM fishing.t_fish WHERE fish_name = 'Red Seabream'),'Rotten Seabream','The flesh of this fish is decaying rapidly, making a hole around its body. Even when there is a hole around its body, this fish still swims and eats normally like nothing's wrong.',0.4,0.5,7,12,93),</v>
      </c>
    </row>
    <row r="167" spans="1:10" ht="27.6" x14ac:dyDescent="0.25">
      <c r="A167" s="12" t="s">
        <v>188</v>
      </c>
      <c r="B167" s="12" t="s">
        <v>1094</v>
      </c>
      <c r="C167" s="13" t="s">
        <v>214</v>
      </c>
      <c r="D167" s="13">
        <v>1</v>
      </c>
      <c r="E167" s="13" t="s">
        <v>1095</v>
      </c>
      <c r="F167" s="13">
        <v>17</v>
      </c>
      <c r="G167" s="13">
        <v>105</v>
      </c>
      <c r="H167" s="14" t="s">
        <v>1096</v>
      </c>
      <c r="I167" s="3" t="str">
        <f t="shared" si="4"/>
        <v>SELECT fish_id FROM fishing.t_fish WHERE fish_name = 'Red Seabream'</v>
      </c>
      <c r="J167" s="3" t="str">
        <f t="shared" si="5"/>
        <v>((SELECT fish_id FROM fishing.t_fish WHERE fish_name = 'Red Seabream'),'Tusk Seabream','A long tusk grows from the bottom of its mouth, making it a great defensive weapon for when predators attack it or when it defending it's eggs in breeding season.',0.6,1,9.7,17,105),</v>
      </c>
    </row>
    <row r="168" spans="1:10" ht="27.6" x14ac:dyDescent="0.25">
      <c r="A168" s="12" t="s">
        <v>1099</v>
      </c>
      <c r="B168" s="12" t="s">
        <v>1102</v>
      </c>
      <c r="C168" s="13" t="s">
        <v>205</v>
      </c>
      <c r="D168" s="13" t="s">
        <v>1103</v>
      </c>
      <c r="E168" s="13" t="s">
        <v>1104</v>
      </c>
      <c r="F168" s="13" t="s">
        <v>1105</v>
      </c>
      <c r="G168" s="13">
        <v>67</v>
      </c>
      <c r="H168" s="14" t="s">
        <v>1106</v>
      </c>
      <c r="I168" s="3" t="str">
        <f t="shared" si="4"/>
        <v>SELECT fish_id FROM fishing.t_fish WHERE fish_name = 'Gilthead Seabream'</v>
      </c>
      <c r="J168" s="3" t="str">
        <f t="shared" si="5"/>
        <v>((SELECT fish_id FROM fishing.t_fish WHERE fish_name = 'Gilthead Seabream'),'Crested Seabream','A bone protruding between its eyes and into the top of its head, this feature is used to attract the opposite gender of the fish; female fish have a bigger crest than their counterpart.',0.3,0.65,17.5,15.5,67),</v>
      </c>
    </row>
    <row r="169" spans="1:10" ht="41.4" x14ac:dyDescent="0.25">
      <c r="A169" s="12" t="s">
        <v>1099</v>
      </c>
      <c r="B169" s="12" t="s">
        <v>1101</v>
      </c>
      <c r="C169" s="13" t="s">
        <v>343</v>
      </c>
      <c r="D169" s="13" t="s">
        <v>176</v>
      </c>
      <c r="E169" s="13">
        <v>20</v>
      </c>
      <c r="F169" s="13">
        <v>12</v>
      </c>
      <c r="G169" s="13">
        <v>75</v>
      </c>
      <c r="H169" s="14" t="s">
        <v>1100</v>
      </c>
      <c r="I169" s="3" t="str">
        <f t="shared" si="4"/>
        <v>SELECT fish_id FROM fishing.t_fish WHERE fish_name = 'Gilthead Seabream'</v>
      </c>
      <c r="J169" s="3" t="str">
        <f t="shared" si="5"/>
        <v>((SELECT fish_id FROM fishing.t_fish WHERE fish_name = 'Gilthead Seabream'),'Heatfang Seabream','Their main prey is a shellfish, and they use their fang to bite into the shell and then heat their fangs to make a hole in the shell. Because of the sudden raise of the temperature, the mollusk will open its shell and be eaten by the fish.',0.7,0.75,20,12,75),</v>
      </c>
    </row>
    <row r="170" spans="1:10" ht="41.4" x14ac:dyDescent="0.25">
      <c r="A170" s="12" t="s">
        <v>259</v>
      </c>
      <c r="B170" s="12" t="s">
        <v>1109</v>
      </c>
      <c r="C170" s="13" t="s">
        <v>195</v>
      </c>
      <c r="D170" s="13">
        <v>4</v>
      </c>
      <c r="E170" s="13">
        <v>11</v>
      </c>
      <c r="F170" s="13">
        <v>27</v>
      </c>
      <c r="G170" s="13">
        <v>87</v>
      </c>
      <c r="H170" s="14" t="s">
        <v>1138</v>
      </c>
      <c r="I170" s="3" t="str">
        <f t="shared" si="4"/>
        <v>SELECT fish_id FROM fishing.t_fish WHERE fish_name = 'Swordhilt Sea Catfish'</v>
      </c>
      <c r="J170" s="3" t="str">
        <f t="shared" si="5"/>
        <v>((SELECT fish_id FROM fishing.t_fish WHERE fish_name = 'Swordhilt Sea Catfish'),'Seeping Sea Catfish','Mana inside its body is constantly leaking blood into the surrounding water to attract small fish, but due to the constant blood loss, this fish needs to keep eating to replenish all the blood and make it more voracious than ever.',0.4,4,11,27,87),</v>
      </c>
    </row>
    <row r="171" spans="1:10" ht="27.6" x14ac:dyDescent="0.25">
      <c r="A171" s="12" t="s">
        <v>259</v>
      </c>
      <c r="B171" s="12" t="s">
        <v>1107</v>
      </c>
      <c r="C171" s="13" t="s">
        <v>214</v>
      </c>
      <c r="D171" s="13">
        <v>5</v>
      </c>
      <c r="E171" s="13">
        <v>12</v>
      </c>
      <c r="F171" s="13">
        <v>25</v>
      </c>
      <c r="G171" s="13">
        <v>95</v>
      </c>
      <c r="H171" s="14" t="s">
        <v>1108</v>
      </c>
      <c r="I171" s="3" t="str">
        <f t="shared" si="4"/>
        <v>SELECT fish_id FROM fishing.t_fish WHERE fish_name = 'Swordhilt Sea Catfish'</v>
      </c>
      <c r="J171" s="3" t="str">
        <f t="shared" si="5"/>
        <v>((SELECT fish_id FROM fishing.t_fish WHERE fish_name = 'Swordhilt Sea Catfish'),'Crownhead Sea Catfish','A three-bone growth along its head, making it resemble a crown, this fish also enables it to swim a lot faster, scholars suspect.',0.6,5,12,25,95),</v>
      </c>
    </row>
    <row r="172" spans="1:10" ht="41.4" x14ac:dyDescent="0.25">
      <c r="A172" s="12" t="s">
        <v>262</v>
      </c>
      <c r="B172" s="12" t="s">
        <v>1115</v>
      </c>
      <c r="C172" s="13" t="s">
        <v>205</v>
      </c>
      <c r="D172" s="13" t="s">
        <v>1112</v>
      </c>
      <c r="E172" s="13">
        <v>20</v>
      </c>
      <c r="F172" s="13" t="s">
        <v>1113</v>
      </c>
      <c r="G172" s="13" t="s">
        <v>1114</v>
      </c>
      <c r="H172" s="14" t="s">
        <v>1116</v>
      </c>
      <c r="I172" s="3" t="str">
        <f t="shared" si="4"/>
        <v>SELECT fish_id FROM fishing.t_fish WHERE fish_name = 'Silverwhisker Sea Catfish'</v>
      </c>
      <c r="J172" s="3" t="str">
        <f t="shared" si="5"/>
        <v>((SELECT fish_id FROM fishing.t_fish WHERE fish_name = 'Silverwhisker Sea Catfish'),'Potbelly Sea Catfish','This fish will eat a lot of fish for a whole day until its stomach nearly bursts before finally stopping all activity and sleeping for a long time. This fish becomes vulnerable to all predators when they enter the sleep state.',0.3,7.3,20,13.7,56.3),</v>
      </c>
    </row>
    <row r="173" spans="1:10" ht="27.6" x14ac:dyDescent="0.25">
      <c r="A173" s="12" t="s">
        <v>262</v>
      </c>
      <c r="B173" s="12" t="s">
        <v>1110</v>
      </c>
      <c r="C173" s="13" t="s">
        <v>343</v>
      </c>
      <c r="D173" s="13">
        <v>7</v>
      </c>
      <c r="E173" s="13">
        <v>15</v>
      </c>
      <c r="F173" s="13">
        <v>15</v>
      </c>
      <c r="G173" s="13">
        <v>65</v>
      </c>
      <c r="H173" s="14" t="s">
        <v>1111</v>
      </c>
      <c r="I173" s="3" t="str">
        <f t="shared" si="4"/>
        <v>SELECT fish_id FROM fishing.t_fish WHERE fish_name = 'Silverwhisker Sea Catfish'</v>
      </c>
      <c r="J173" s="3" t="str">
        <f t="shared" si="5"/>
        <v>((SELECT fish_id FROM fishing.t_fish WHERE fish_name = 'Silverwhisker Sea Catfish'),'Barbed Sea Catfish','Its whiskers have a lot of tiny spines that are venomous; this venom can paralyze its prey when got attached to its body.',0.7,7,15,15,65),</v>
      </c>
    </row>
    <row r="174" spans="1:10" ht="27.6" x14ac:dyDescent="0.25">
      <c r="A174" s="12" t="s">
        <v>301</v>
      </c>
      <c r="B174" s="12" t="s">
        <v>1119</v>
      </c>
      <c r="C174" s="13" t="s">
        <v>208</v>
      </c>
      <c r="D174" s="13">
        <v>10</v>
      </c>
      <c r="E174" s="13">
        <v>41</v>
      </c>
      <c r="F174" s="13">
        <v>21</v>
      </c>
      <c r="G174" s="13">
        <v>175</v>
      </c>
      <c r="H174" s="14" t="s">
        <v>1120</v>
      </c>
      <c r="I174" s="3" t="str">
        <f t="shared" si="4"/>
        <v>SELECT fish_id FROM fishing.t_fish WHERE fish_name = 'Common Dolphinfish'</v>
      </c>
      <c r="J174" s="3" t="str">
        <f t="shared" si="5"/>
        <v>((SELECT fish_id FROM fishing.t_fish WHERE fish_name = 'Common Dolphinfish'),'Stonehead Dolphinfish','A thick layer of scale grows in front of its head, covering it entirely, making it as hard as a rock. This thick headed fish compete with each other for a potential mate with their heads.',0.8,10,41,21,175),</v>
      </c>
    </row>
    <row r="175" spans="1:10" ht="55.2" x14ac:dyDescent="0.25">
      <c r="A175" s="12" t="s">
        <v>301</v>
      </c>
      <c r="B175" s="12" t="s">
        <v>1117</v>
      </c>
      <c r="C175" s="13" t="s">
        <v>198</v>
      </c>
      <c r="D175" s="13">
        <v>12</v>
      </c>
      <c r="E175" s="13">
        <v>43</v>
      </c>
      <c r="F175" s="13">
        <v>25</v>
      </c>
      <c r="G175" s="13">
        <v>185</v>
      </c>
      <c r="H175" s="14" t="s">
        <v>1118</v>
      </c>
      <c r="I175" s="3" t="str">
        <f t="shared" si="4"/>
        <v>SELECT fish_id FROM fishing.t_fish WHERE fish_name = 'Common Dolphinfish'</v>
      </c>
      <c r="J175" s="3" t="str">
        <f t="shared" si="5"/>
        <v>((SELECT fish_id FROM fishing.t_fish WHERE fish_name = 'Common Dolphinfish'),'Searing Dolphinfish','When this fish feels threatened, it will secrete a clear liquid covering its entire body. Fishermen reported that this liquid makes their hands feel like being directly burned on a bonfire, even when only being touched for a short time; some even lose their hands when touching the fish for longer than a few seconds.',0.2,12,43,25,185),</v>
      </c>
    </row>
    <row r="176" spans="1:10" ht="27.6" x14ac:dyDescent="0.25">
      <c r="A176" s="12" t="s">
        <v>357</v>
      </c>
      <c r="B176" s="12" t="s">
        <v>1124</v>
      </c>
      <c r="C176" s="13" t="s">
        <v>205</v>
      </c>
      <c r="D176" s="13" t="s">
        <v>208</v>
      </c>
      <c r="E176" s="13">
        <v>13</v>
      </c>
      <c r="F176" s="13">
        <v>22</v>
      </c>
      <c r="G176" s="13">
        <v>54</v>
      </c>
      <c r="H176" s="14" t="s">
        <v>1125</v>
      </c>
      <c r="I176" s="3" t="str">
        <f t="shared" si="4"/>
        <v>SELECT fish_id FROM fishing.t_fish WHERE fish_name = 'Summer Flounder'</v>
      </c>
      <c r="J176" s="3" t="str">
        <f t="shared" si="5"/>
        <v>((SELECT fish_id FROM fishing.t_fish WHERE fish_name = 'Summer Flounder'),'Crystal Scale Flounder','Its scale is really brittle and easily shattered. Scholars think that this type of scale will shatter whenever predators try to eat it, hurting the predator's mouth and causing it to swim away in pain.',0.3,0.8,13,22,54),</v>
      </c>
    </row>
    <row r="177" spans="1:10" ht="41.4" x14ac:dyDescent="0.25">
      <c r="A177" s="12" t="s">
        <v>357</v>
      </c>
      <c r="B177" s="12" t="s">
        <v>1121</v>
      </c>
      <c r="C177" s="13" t="s">
        <v>343</v>
      </c>
      <c r="D177" s="13" t="s">
        <v>201</v>
      </c>
      <c r="E177" s="13">
        <v>12</v>
      </c>
      <c r="F177" s="13">
        <v>21</v>
      </c>
      <c r="G177" s="13">
        <v>55</v>
      </c>
      <c r="H177" s="14" t="s">
        <v>1122</v>
      </c>
      <c r="I177" s="3" t="str">
        <f t="shared" si="4"/>
        <v>SELECT fish_id FROM fishing.t_fish WHERE fish_name = 'Summer Flounder'</v>
      </c>
      <c r="J177" s="3" t="str">
        <f t="shared" si="5"/>
        <v>((SELECT fish_id FROM fishing.t_fish WHERE fish_name = 'Summer Flounder'),'Glowing Flounder','The fin on the top and bottom of this fish glows whenever it goes hunting. The glow attracts small fish, which approach the flounder. When the fish is near enough, the flounder strikes with a swift gulp.',0.7,0.9,12,21,55),</v>
      </c>
    </row>
    <row r="178" spans="1:10" ht="41.4" x14ac:dyDescent="0.25">
      <c r="A178" s="12" t="s">
        <v>417</v>
      </c>
      <c r="B178" s="12" t="s">
        <v>1128</v>
      </c>
      <c r="C178" s="13" t="s">
        <v>195</v>
      </c>
      <c r="D178" s="13" t="s">
        <v>201</v>
      </c>
      <c r="E178" s="13">
        <v>15</v>
      </c>
      <c r="F178" s="13">
        <v>15</v>
      </c>
      <c r="G178" s="13">
        <v>60</v>
      </c>
      <c r="H178" s="14" t="s">
        <v>1129</v>
      </c>
      <c r="I178" s="3" t="str">
        <f t="shared" si="4"/>
        <v>SELECT fish_id FROM fishing.t_fish WHERE fish_name = 'Redmouth Grouper'</v>
      </c>
      <c r="J178" s="3" t="str">
        <f t="shared" si="5"/>
        <v>((SELECT fish_id FROM fishing.t_fish WHERE fish_name = 'Redmouth Grouper'),'Big Eyes Grouper','Its eyes are almost bigger than its head enable it to see better in the dark. But scholars realize that there is a chance that the older this fish is, the more likely its eyes will sometimes come out of its skull, making this fish blind.',0.4,0.9,15,15,60),</v>
      </c>
    </row>
    <row r="179" spans="1:10" ht="27.6" x14ac:dyDescent="0.25">
      <c r="A179" s="12" t="s">
        <v>417</v>
      </c>
      <c r="B179" s="12" t="s">
        <v>1126</v>
      </c>
      <c r="C179" s="13" t="s">
        <v>214</v>
      </c>
      <c r="D179" s="13" t="s">
        <v>840</v>
      </c>
      <c r="E179" s="13">
        <v>18</v>
      </c>
      <c r="F179" s="13">
        <v>18</v>
      </c>
      <c r="G179" s="13">
        <v>62</v>
      </c>
      <c r="H179" s="14" t="s">
        <v>1127</v>
      </c>
      <c r="I179" s="3" t="str">
        <f t="shared" si="4"/>
        <v>SELECT fish_id FROM fishing.t_fish WHERE fish_name = 'Redmouth Grouper'</v>
      </c>
      <c r="J179" s="3" t="str">
        <f t="shared" si="5"/>
        <v>((SELECT fish_id FROM fishing.t_fish WHERE fish_name = 'Redmouth Grouper'),'Gulper Grouper','This fish will hunt a smaller schooling fish and just swallow them whole. This fish is also so aggressive and sometimes will be seen fighting each other near their prey.',0.6,1.4,18,18,62),</v>
      </c>
    </row>
    <row r="180" spans="1:10" ht="27.6" x14ac:dyDescent="0.25">
      <c r="A180" s="12" t="s">
        <v>420</v>
      </c>
      <c r="B180" s="12" t="s">
        <v>1133</v>
      </c>
      <c r="C180" s="13" t="s">
        <v>195</v>
      </c>
      <c r="D180" s="13" t="s">
        <v>343</v>
      </c>
      <c r="E180" s="13" t="s">
        <v>1134</v>
      </c>
      <c r="F180" s="13" t="s">
        <v>1135</v>
      </c>
      <c r="G180" s="13" t="s">
        <v>1136</v>
      </c>
      <c r="H180" s="14" t="s">
        <v>1137</v>
      </c>
      <c r="I180" s="3" t="str">
        <f t="shared" si="4"/>
        <v>SELECT fish_id FROM fishing.t_fish WHERE fish_name = 'Slender Grouper'</v>
      </c>
      <c r="J180" s="3" t="str">
        <f t="shared" si="5"/>
        <v>((SELECT fish_id FROM fishing.t_fish WHERE fish_name = 'Slender Grouper'),'Cracking Grouper','Its entire body is covered with a thin line that is slowly getting longer and deeper inside its body. This crack will keep getting deeper and deeper until it opens up the body of the fish.',0.4,0.7,2.1,11.7,67.3),</v>
      </c>
    </row>
    <row r="181" spans="1:10" ht="41.4" x14ac:dyDescent="0.25">
      <c r="A181" s="12" t="s">
        <v>420</v>
      </c>
      <c r="B181" s="12" t="s">
        <v>1130</v>
      </c>
      <c r="C181" s="13" t="s">
        <v>214</v>
      </c>
      <c r="D181" s="13" t="s">
        <v>208</v>
      </c>
      <c r="E181" s="13" t="s">
        <v>400</v>
      </c>
      <c r="F181" s="13" t="s">
        <v>1131</v>
      </c>
      <c r="G181" s="13">
        <v>65</v>
      </c>
      <c r="H181" s="14" t="s">
        <v>1132</v>
      </c>
      <c r="I181" s="3" t="str">
        <f t="shared" si="4"/>
        <v>SELECT fish_id FROM fishing.t_fish WHERE fish_name = 'Slender Grouper'</v>
      </c>
      <c r="J181" s="3" t="str">
        <f t="shared" si="5"/>
        <v>((SELECT fish_id FROM fishing.t_fish WHERE fish_name = 'Slender Grouper'),'Bone-ring Grouper','A bone-like ring is growing around its body, covering it sporadically. This bone ring protects the grouper from large predators that want to eat the grouper, but smaller predator fish can still take a nibble out of its flesh.',0.6,0.8,2.3,13.2,65),</v>
      </c>
    </row>
    <row r="182" spans="1:10" ht="27.6" x14ac:dyDescent="0.25">
      <c r="A182" s="12" t="s">
        <v>423</v>
      </c>
      <c r="B182" s="12" t="s">
        <v>1141</v>
      </c>
      <c r="C182" s="13" t="s">
        <v>27</v>
      </c>
      <c r="D182" s="13" t="s">
        <v>195</v>
      </c>
      <c r="E182" s="13" t="s">
        <v>1134</v>
      </c>
      <c r="F182" s="13" t="s">
        <v>686</v>
      </c>
      <c r="G182" s="13">
        <v>46</v>
      </c>
      <c r="H182" s="14" t="s">
        <v>1142</v>
      </c>
      <c r="I182" s="3" t="str">
        <f t="shared" si="4"/>
        <v>SELECT fish_id FROM fishing.t_fish WHERE fish_name = 'Masked Grouper'</v>
      </c>
      <c r="J182" s="3" t="str">
        <f t="shared" si="5"/>
        <v>((SELECT fish_id FROM fishing.t_fish WHERE fish_name = 'Masked Grouper'),'Insect Jaw Grouper','A pair of pincers that grow beside its mouth, these pincers can hold a small prey before the grouper eats its flesh bit by bit.',0.5,0.4,2.1,9.2,46),</v>
      </c>
    </row>
    <row r="183" spans="1:10" ht="27.6" x14ac:dyDescent="0.25">
      <c r="A183" s="12" t="s">
        <v>423</v>
      </c>
      <c r="B183" s="12" t="s">
        <v>1139</v>
      </c>
      <c r="C183" s="13" t="s">
        <v>27</v>
      </c>
      <c r="D183" s="13" t="s">
        <v>343</v>
      </c>
      <c r="E183" s="13" t="s">
        <v>400</v>
      </c>
      <c r="F183" s="13">
        <v>10</v>
      </c>
      <c r="G183" s="13">
        <v>47</v>
      </c>
      <c r="H183" s="14" t="s">
        <v>1140</v>
      </c>
      <c r="I183" s="3" t="str">
        <f t="shared" si="4"/>
        <v>SELECT fish_id FROM fishing.t_fish WHERE fish_name = 'Masked Grouper'</v>
      </c>
      <c r="J183" s="3" t="str">
        <f t="shared" si="5"/>
        <v>((SELECT fish_id FROM fishing.t_fish WHERE fish_name = 'Masked Grouper'),'Ribcage Grouper','The top body of this fish has no flesh at all, and this exposes the rib. Scholars suggest that the mana is keeping this fish alive, but they don't know how or why.',0.5,0.7,2.3,10,47),</v>
      </c>
    </row>
    <row r="184" spans="1:10" ht="27.6" x14ac:dyDescent="0.25">
      <c r="A184" s="12" t="s">
        <v>298</v>
      </c>
      <c r="B184" s="12" t="s">
        <v>1145</v>
      </c>
      <c r="C184" s="13" t="s">
        <v>195</v>
      </c>
      <c r="D184" s="13">
        <v>17</v>
      </c>
      <c r="E184" s="13">
        <v>52</v>
      </c>
      <c r="F184" s="13">
        <v>32</v>
      </c>
      <c r="G184" s="13">
        <v>192</v>
      </c>
      <c r="H184" s="14" t="s">
        <v>1146</v>
      </c>
      <c r="I184" s="3" t="str">
        <f t="shared" si="4"/>
        <v>SELECT fish_id FROM fishing.t_fish WHERE fish_name = 'King Mackerel'</v>
      </c>
      <c r="J184" s="3" t="str">
        <f t="shared" si="5"/>
        <v>((SELECT fish_id FROM fishing.t_fish WHERE fish_name = 'King Mackerel'),'Wolf-fang Mackerel','A sharp fang protrudes from its mouth, making it look really menacing. Its fang can easily penetrate into the flesh of its prey, and even some hard shelled mollusk can be cracked.',0.4,17,52,32,192),</v>
      </c>
    </row>
    <row r="185" spans="1:10" ht="41.4" x14ac:dyDescent="0.25">
      <c r="A185" s="12" t="s">
        <v>298</v>
      </c>
      <c r="B185" s="12" t="s">
        <v>1143</v>
      </c>
      <c r="C185" s="13" t="s">
        <v>214</v>
      </c>
      <c r="D185" s="13">
        <v>15</v>
      </c>
      <c r="E185" s="13">
        <v>45</v>
      </c>
      <c r="F185" s="13">
        <v>35</v>
      </c>
      <c r="G185" s="13">
        <v>155</v>
      </c>
      <c r="H185" s="14" t="s">
        <v>1144</v>
      </c>
      <c r="I185" s="3" t="str">
        <f t="shared" si="4"/>
        <v>SELECT fish_id FROM fishing.t_fish WHERE fish_name = 'King Mackerel'</v>
      </c>
      <c r="J185" s="3" t="str">
        <f t="shared" si="5"/>
        <v>((SELECT fish_id FROM fishing.t_fish WHERE fish_name = 'King Mackerel'),'Silver Scale Mackerel','Merchants will make accessories out of this fish's loose scales and sell them for a pretty high price. These accessories are very popular for middle and lower class noble because of their appearance and price that not too high.',0.6,15,45,35,155),</v>
      </c>
    </row>
    <row r="186" spans="1:10" ht="41.4" x14ac:dyDescent="0.25">
      <c r="A186" s="12" t="s">
        <v>293</v>
      </c>
      <c r="B186" s="12" t="s">
        <v>1149</v>
      </c>
      <c r="C186" s="13" t="s">
        <v>205</v>
      </c>
      <c r="D186" s="13" t="s">
        <v>214</v>
      </c>
      <c r="E186" s="13" t="s">
        <v>256</v>
      </c>
      <c r="F186" s="13">
        <v>11</v>
      </c>
      <c r="G186" s="13">
        <v>34</v>
      </c>
      <c r="H186" s="14" t="s">
        <v>1150</v>
      </c>
      <c r="I186" s="3" t="str">
        <f t="shared" si="4"/>
        <v>SELECT fish_id FROM fishing.t_fish WHERE fish_name = 'Common Lionfish'</v>
      </c>
      <c r="J186" s="3" t="str">
        <f t="shared" si="5"/>
        <v>((SELECT fish_id FROM fishing.t_fish WHERE fish_name = 'Common Lionfish'),'Bladespine Fish','The spine of this fish evolved into a blade that will not only slash you, but also will inject the natural venom that this fish possesses. The blade will open the flesh, and the tiny needles will inject venom into the attacker.',0.3,0.6,1.2,11,34),</v>
      </c>
    </row>
    <row r="187" spans="1:10" ht="41.4" x14ac:dyDescent="0.25">
      <c r="A187" s="12" t="s">
        <v>293</v>
      </c>
      <c r="B187" s="12" t="s">
        <v>1147</v>
      </c>
      <c r="C187" s="13" t="s">
        <v>343</v>
      </c>
      <c r="D187" s="13" t="s">
        <v>195</v>
      </c>
      <c r="E187" s="13" t="s">
        <v>28</v>
      </c>
      <c r="F187" s="13">
        <v>12</v>
      </c>
      <c r="G187" s="13">
        <v>38</v>
      </c>
      <c r="H187" s="14" t="s">
        <v>1148</v>
      </c>
      <c r="I187" s="3" t="str">
        <f t="shared" si="4"/>
        <v>SELECT fish_id FROM fishing.t_fish WHERE fish_name = 'Common Lionfish'</v>
      </c>
      <c r="J187" s="3" t="str">
        <f t="shared" si="5"/>
        <v>((SELECT fish_id FROM fishing.t_fish WHERE fish_name = 'Common Lionfish'),'Lion-mane Fish','A hair-like tentacle grows around the head of this fish; this hair has the same venom as the spine, making it more dangerous than a normal lionfish. When something touches this hair, it will not hurt as much until the venom works.',0.7,0.4,1.5,12,38),</v>
      </c>
    </row>
    <row r="188" spans="1:10" ht="27.6" x14ac:dyDescent="0.25">
      <c r="A188" s="12" t="s">
        <v>364</v>
      </c>
      <c r="B188" s="12" t="s">
        <v>1153</v>
      </c>
      <c r="C188" s="13" t="s">
        <v>343</v>
      </c>
      <c r="D188" s="13">
        <v>6</v>
      </c>
      <c r="E188" s="13">
        <v>12</v>
      </c>
      <c r="F188" s="13">
        <v>83</v>
      </c>
      <c r="G188" s="13">
        <v>123</v>
      </c>
      <c r="H188" s="14" t="s">
        <v>1154</v>
      </c>
      <c r="I188" s="3" t="str">
        <f t="shared" si="4"/>
        <v>SELECT fish_id FROM fishing.t_fish WHERE fish_name = 'Spiny Dogfish'</v>
      </c>
      <c r="J188" s="3" t="str">
        <f t="shared" si="5"/>
        <v>((SELECT fish_id FROM fishing.t_fish WHERE fish_name = 'Spiny Dogfish'),'Spiked Dogfish','The upper part of this fish is covered with spikes that grow from the top of its head until just before the tail. This sharp spike is speculated to be an indication of how old the shark is.',0.7,6,12,83,123),</v>
      </c>
    </row>
    <row r="189" spans="1:10" ht="55.2" x14ac:dyDescent="0.25">
      <c r="A189" s="12" t="s">
        <v>364</v>
      </c>
      <c r="B189" s="12" t="s">
        <v>1151</v>
      </c>
      <c r="C189" s="13" t="s">
        <v>205</v>
      </c>
      <c r="D189" s="13">
        <v>5</v>
      </c>
      <c r="E189" s="13">
        <v>15</v>
      </c>
      <c r="F189" s="13">
        <v>75</v>
      </c>
      <c r="G189" s="13">
        <v>145</v>
      </c>
      <c r="H189" s="14" t="s">
        <v>1152</v>
      </c>
      <c r="I189" s="3" t="str">
        <f t="shared" si="4"/>
        <v>SELECT fish_id FROM fishing.t_fish WHERE fish_name = 'Spiny Dogfish'</v>
      </c>
      <c r="J189" s="3" t="str">
        <f t="shared" si="5"/>
        <v>((SELECT fish_id FROM fishing.t_fish WHERE fish_name = 'Spiny Dogfish'),'Two-headed Shark','This fish has another head that works perfectly in tandem with its main head. Scholars argue about how this thing happens; some say that it happens because mana mutates and merges two eggs into one, while the other suggested that the strongest shark eats the eggs inside the parent, and the eggs still grow inside the stomach.',0.3,5,15,75,145),</v>
      </c>
    </row>
    <row r="190" spans="1:10" ht="27.6" x14ac:dyDescent="0.25">
      <c r="A190" s="12" t="s">
        <v>414</v>
      </c>
      <c r="B190" s="12" t="s">
        <v>1157</v>
      </c>
      <c r="C190" s="13" t="s">
        <v>195</v>
      </c>
      <c r="D190" s="13">
        <v>5</v>
      </c>
      <c r="E190" s="13">
        <v>24</v>
      </c>
      <c r="F190" s="13">
        <v>27</v>
      </c>
      <c r="G190" s="13">
        <v>86</v>
      </c>
      <c r="H190" s="14" t="s">
        <v>1158</v>
      </c>
      <c r="I190" s="3" t="str">
        <f t="shared" si="4"/>
        <v>SELECT fish_id FROM fishing.t_fish WHERE fish_name = 'Northern Red Snapper'</v>
      </c>
      <c r="J190" s="3" t="str">
        <f t="shared" si="5"/>
        <v>((SELECT fish_id FROM fishing.t_fish WHERE fish_name = 'Northern Red Snapper'),'Bloodeye Snapper','Its eyes will leak a lot of blood whenever this fish is brought up to the boat. A lot of fishermen think that this fish is crying because it is being caught by the fishermen.',0.4,5,24,27,86),</v>
      </c>
    </row>
    <row r="191" spans="1:10" ht="27.6" x14ac:dyDescent="0.25">
      <c r="A191" s="12" t="s">
        <v>414</v>
      </c>
      <c r="B191" s="12" t="s">
        <v>1155</v>
      </c>
      <c r="C191" s="13" t="s">
        <v>214</v>
      </c>
      <c r="D191" s="13">
        <v>6</v>
      </c>
      <c r="E191" s="13">
        <v>27</v>
      </c>
      <c r="F191" s="13">
        <v>25</v>
      </c>
      <c r="G191" s="13">
        <v>77</v>
      </c>
      <c r="H191" s="14" t="s">
        <v>1156</v>
      </c>
      <c r="I191" s="3" t="str">
        <f t="shared" si="4"/>
        <v>SELECT fish_id FROM fishing.t_fish WHERE fish_name = 'Northern Red Snapper'</v>
      </c>
      <c r="J191" s="3" t="str">
        <f t="shared" si="5"/>
        <v>((SELECT fish_id FROM fishing.t_fish WHERE fish_name = 'Northern Red Snapper'),'Viper Snapper','A lot of fishermen died catching this seemingly docile fish, but because of their carelessness, this fish will bite their hand and inject venom that will kill you in days.',0.6,6,27,25,77),</v>
      </c>
    </row>
    <row r="192" spans="1:10" ht="41.4" x14ac:dyDescent="0.25">
      <c r="A192" s="12" t="s">
        <v>1083</v>
      </c>
      <c r="B192" s="12" t="s">
        <v>1161</v>
      </c>
      <c r="C192" s="13" t="s">
        <v>195</v>
      </c>
      <c r="D192" s="13" t="s">
        <v>214</v>
      </c>
      <c r="E192" s="13" t="s">
        <v>1162</v>
      </c>
      <c r="F192" s="13">
        <v>26</v>
      </c>
      <c r="G192" s="13">
        <v>66</v>
      </c>
      <c r="H192" s="14" t="s">
        <v>1163</v>
      </c>
      <c r="I192" s="3" t="str">
        <f t="shared" si="4"/>
        <v>SELECT fish_id FROM fishing.t_fish WHERE fish_name = 'Grey Crossbowfish'</v>
      </c>
      <c r="J192" s="3" t="str">
        <f t="shared" si="5"/>
        <v>((SELECT fish_id FROM fishing.t_fish WHERE fish_name = 'Grey Crossbowfish'),'Scarred Crossbowfish','A scar can be seen covering this fish all over its body. This happens because of the aggressive nature of the fish, which is being taken to overdrive by mana, and it will keep attacking anything that moves without discrimination, sometimes even predators that are bigger in size than it.',0.4,0.6,2.6,26,66),</v>
      </c>
    </row>
    <row r="193" spans="1:10" ht="27.6" x14ac:dyDescent="0.25">
      <c r="A193" s="12" t="s">
        <v>1083</v>
      </c>
      <c r="B193" s="12" t="s">
        <v>1159</v>
      </c>
      <c r="C193" s="13" t="s">
        <v>214</v>
      </c>
      <c r="D193" s="13" t="s">
        <v>343</v>
      </c>
      <c r="E193" s="13" t="s">
        <v>1042</v>
      </c>
      <c r="F193" s="13">
        <v>17</v>
      </c>
      <c r="G193" s="13">
        <v>57</v>
      </c>
      <c r="H193" s="14" t="s">
        <v>1160</v>
      </c>
      <c r="I193" s="3" t="str">
        <f t="shared" si="4"/>
        <v>SELECT fish_id FROM fishing.t_fish WHERE fish_name = 'Grey Crossbowfish'</v>
      </c>
      <c r="J193" s="3" t="str">
        <f t="shared" si="5"/>
        <v>((SELECT fish_id FROM fishing.t_fish WHERE fish_name = 'Grey Crossbowfish'),'Blinding Crossbowfish','Whenever this fish feels threatened by predators, it will erect its front upper fin and then use mana to create a blinding flash of light, and then swim away before the predators can recover.',0.6,0.7,2.7,17,57),</v>
      </c>
    </row>
    <row r="194" spans="1:10" ht="41.4" x14ac:dyDescent="0.25">
      <c r="A194" s="12" t="s">
        <v>359</v>
      </c>
      <c r="B194" s="12" t="s">
        <v>1166</v>
      </c>
      <c r="C194" s="13" t="s">
        <v>201</v>
      </c>
      <c r="D194" s="13">
        <v>112</v>
      </c>
      <c r="E194" s="13">
        <v>621</v>
      </c>
      <c r="F194" s="13">
        <v>102</v>
      </c>
      <c r="G194" s="13">
        <v>375</v>
      </c>
      <c r="H194" s="14" t="s">
        <v>1167</v>
      </c>
      <c r="I194" s="3" t="str">
        <f t="shared" si="4"/>
        <v>SELECT fish_id FROM fishing.t_fish WHERE fish_name = 'Bluefin Tuna'</v>
      </c>
      <c r="J194" s="3" t="str">
        <f t="shared" si="5"/>
        <v>((SELECT fish_id FROM fishing.t_fish WHERE fish_name = 'Bluefin Tuna'),'Frigid Tuna','Its flesh is ice cold whenever a fishermen cut it and stays cold even when they bring it to shore. This fish is really popular because it tastes fresh for a long time and has a nice texture to it because of the temperature.',0.9,112,621,102,375),</v>
      </c>
    </row>
    <row r="195" spans="1:10" ht="41.4" x14ac:dyDescent="0.25">
      <c r="A195" s="12" t="s">
        <v>359</v>
      </c>
      <c r="B195" s="12" t="s">
        <v>1164</v>
      </c>
      <c r="C195" s="13" t="s">
        <v>213</v>
      </c>
      <c r="D195" s="13">
        <v>125</v>
      </c>
      <c r="E195" s="13">
        <v>725</v>
      </c>
      <c r="F195" s="13">
        <v>125</v>
      </c>
      <c r="G195" s="13">
        <v>325</v>
      </c>
      <c r="H195" s="14" t="s">
        <v>1165</v>
      </c>
      <c r="I195" s="3" t="str">
        <f t="shared" ref="I195:I201" si="6">_xlfn.CONCAT("SELECT fish_id FROM fishing.t_fish WHERE fish_name = '",A195,"'")</f>
        <v>SELECT fish_id FROM fishing.t_fish WHERE fish_name = 'Bluefin Tuna'</v>
      </c>
      <c r="J195" s="3" t="str">
        <f t="shared" ref="J195:J201" si="7">_xlfn.CONCAT("((",I195,"),","'",B195,"',","'",H195,"',",C195,",",D195,",",E195,",",F195,",",G195,"),")</f>
        <v>((SELECT fish_id FROM fishing.t_fish WHERE fish_name = 'Bluefin Tuna'),'Stomach-less Tuna','Fishermen sometimes saw this fish floating on the ocean, lifeless. When they cut up the fish, they realize that this fish's stomach is gone, and they only have the flesh and no innards at all. Scholars think that long exposure to mana makes the stomach go away.',0.1,125,725,125,325),</v>
      </c>
    </row>
    <row r="196" spans="1:10" ht="27.6" x14ac:dyDescent="0.25">
      <c r="A196" s="12" t="s">
        <v>362</v>
      </c>
      <c r="B196" s="12" t="s">
        <v>1170</v>
      </c>
      <c r="C196" s="13" t="s">
        <v>205</v>
      </c>
      <c r="D196" s="13">
        <v>95</v>
      </c>
      <c r="E196" s="13">
        <v>320</v>
      </c>
      <c r="F196" s="13">
        <v>112</v>
      </c>
      <c r="G196" s="13">
        <v>215</v>
      </c>
      <c r="H196" s="14" t="s">
        <v>1171</v>
      </c>
      <c r="I196" s="3" t="str">
        <f t="shared" si="6"/>
        <v>SELECT fish_id FROM fishing.t_fish WHERE fish_name = 'Yellowfin Tuna'</v>
      </c>
      <c r="J196" s="3" t="str">
        <f t="shared" si="7"/>
        <v>((SELECT fish_id FROM fishing.t_fish WHERE fish_name = 'Yellowfin Tuna'),'Paralyzing Tuna','The long upper fin of this fish has venom that will paralyze you if you are sliced by it; the effect of the venom only lasts around an hour and will not kill anyone. ',0.3,95,320,112,215),</v>
      </c>
    </row>
    <row r="197" spans="1:10" ht="27.6" x14ac:dyDescent="0.25">
      <c r="A197" s="12" t="s">
        <v>362</v>
      </c>
      <c r="B197" s="12" t="s">
        <v>1168</v>
      </c>
      <c r="C197" s="13" t="s">
        <v>343</v>
      </c>
      <c r="D197" s="13">
        <v>125</v>
      </c>
      <c r="E197" s="13">
        <v>425</v>
      </c>
      <c r="F197" s="13">
        <v>105</v>
      </c>
      <c r="G197" s="13">
        <v>245</v>
      </c>
      <c r="H197" s="14" t="s">
        <v>1169</v>
      </c>
      <c r="I197" s="3" t="str">
        <f t="shared" si="6"/>
        <v>SELECT fish_id FROM fishing.t_fish WHERE fish_name = 'Yellowfin Tuna'</v>
      </c>
      <c r="J197" s="3" t="str">
        <f t="shared" si="7"/>
        <v>((SELECT fish_id FROM fishing.t_fish WHERE fish_name = 'Yellowfin Tuna'),'Bladefin Tuna','The long fin at the top and bottom of its body is sharp and can easily cut your hand. This fish will use this evolved fin to cut their prey when circling them.',0.7,125,425,105,245),</v>
      </c>
    </row>
    <row r="198" spans="1:10" ht="41.4" x14ac:dyDescent="0.25">
      <c r="A198" s="12" t="s">
        <v>408</v>
      </c>
      <c r="B198" s="12" t="s">
        <v>1175</v>
      </c>
      <c r="C198" s="13" t="s">
        <v>195</v>
      </c>
      <c r="D198" s="13">
        <v>17</v>
      </c>
      <c r="E198" s="13">
        <v>38</v>
      </c>
      <c r="F198" s="13">
        <v>89</v>
      </c>
      <c r="G198" s="13">
        <v>140</v>
      </c>
      <c r="H198" s="14" t="s">
        <v>1176</v>
      </c>
      <c r="I198" s="3" t="str">
        <f t="shared" si="6"/>
        <v>SELECT fish_id FROM fishing.t_fish WHERE fish_name = 'Longfin Tuna'</v>
      </c>
      <c r="J198" s="3" t="str">
        <f t="shared" si="7"/>
        <v>((SELECT fish_id FROM fishing.t_fish WHERE fish_name = 'Longfin Tuna'),'Winged Tuna','Its fin on each side of the fish is so long and so wide that it resembles a bird's wings. Scholars don't exactly know why the fin evolved to these sizes and just assume it will help the fish to swim better.',0.4,17,38,89,140),</v>
      </c>
    </row>
    <row r="199" spans="1:10" ht="27.6" x14ac:dyDescent="0.25">
      <c r="A199" s="12" t="s">
        <v>408</v>
      </c>
      <c r="B199" s="12" t="s">
        <v>1173</v>
      </c>
      <c r="C199" s="13" t="s">
        <v>214</v>
      </c>
      <c r="D199" s="13">
        <v>22</v>
      </c>
      <c r="E199" s="13">
        <v>43</v>
      </c>
      <c r="F199" s="13">
        <v>94</v>
      </c>
      <c r="G199" s="13">
        <v>155</v>
      </c>
      <c r="H199" s="14" t="s">
        <v>1174</v>
      </c>
      <c r="I199" s="3" t="str">
        <f t="shared" si="6"/>
        <v>SELECT fish_id FROM fishing.t_fish WHERE fish_name = 'Longfin Tuna'</v>
      </c>
      <c r="J199" s="3" t="str">
        <f t="shared" si="7"/>
        <v>((SELECT fish_id FROM fishing.t_fish WHERE fish_name = 'Longfin Tuna'),'Obsidian Scale Tuna','The dark part of the body is covered in hard scales that resemble obsidian in color; these hard scales are sometimes used by smiths to make a cheap shield for mercenaries and sellswords alike.',0.6,22,43,94,155),</v>
      </c>
    </row>
    <row r="200" spans="1:10" ht="27.6" x14ac:dyDescent="0.25">
      <c r="A200" s="12" t="s">
        <v>409</v>
      </c>
      <c r="B200" s="12" t="s">
        <v>1185</v>
      </c>
      <c r="C200" s="13" t="s">
        <v>205</v>
      </c>
      <c r="D200" s="13" t="s">
        <v>1181</v>
      </c>
      <c r="E200" s="13" t="s">
        <v>1182</v>
      </c>
      <c r="F200" s="13" t="s">
        <v>1183</v>
      </c>
      <c r="G200" s="13" t="s">
        <v>1184</v>
      </c>
      <c r="H200" s="14" t="s">
        <v>1186</v>
      </c>
      <c r="I200" s="3" t="str">
        <f t="shared" si="6"/>
        <v>SELECT fish_id FROM fishing.t_fish WHERE fish_name = 'Bigeye Tuna'</v>
      </c>
      <c r="J200" s="3" t="str">
        <f t="shared" si="7"/>
        <v>((SELECT fish_id FROM fishing.t_fish WHERE fish_name = 'Bigeye Tuna'),'Fat Blob Tuna','Its entire body is covered with a green lump that will burst if you even poke it with your finger. The green liquid inside the lump has a horrible stench and can be used as bait to attract small fish.',0.3,26.4,185.3,75.7,264.2),</v>
      </c>
    </row>
    <row r="201" spans="1:10" ht="27.6" x14ac:dyDescent="0.25">
      <c r="A201" s="12" t="s">
        <v>409</v>
      </c>
      <c r="B201" s="12" t="s">
        <v>1177</v>
      </c>
      <c r="C201" s="13" t="s">
        <v>343</v>
      </c>
      <c r="D201" s="13" t="s">
        <v>1178</v>
      </c>
      <c r="E201" s="13" t="s">
        <v>1179</v>
      </c>
      <c r="F201" s="13">
        <v>78</v>
      </c>
      <c r="G201" s="13">
        <v>274</v>
      </c>
      <c r="H201" s="14" t="s">
        <v>1180</v>
      </c>
      <c r="I201" s="3" t="str">
        <f t="shared" si="6"/>
        <v>SELECT fish_id FROM fishing.t_fish WHERE fish_name = 'Bigeye Tuna'</v>
      </c>
      <c r="J201" s="3" t="str">
        <f t="shared" si="7"/>
        <v>((SELECT fish_id FROM fishing.t_fish WHERE fish_name = 'Bigeye Tuna'),'Eyeless Tuna','Fishermen think that this fish's eyes are gone because of predation, but scholars suggest that this fish doesn't even have eyes to begin with because there is no scar anywhere near its head.',0.7,27.2,172.4,78,274),</v>
      </c>
    </row>
  </sheetData>
  <autoFilter ref="A1:H1" xr:uid="{6919E62F-263C-414E-A448-8B21530BFE26}"/>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A856-5E3F-4F82-AC87-CA307D114298}">
  <sheetPr codeName="Sheet7"/>
  <dimension ref="A1:E35"/>
  <sheetViews>
    <sheetView zoomScaleNormal="100" workbookViewId="0">
      <pane ySplit="1" topLeftCell="A2" activePane="bottomLeft" state="frozen"/>
      <selection pane="bottomLeft" activeCell="C11" sqref="C11"/>
    </sheetView>
  </sheetViews>
  <sheetFormatPr defaultColWidth="8.88671875" defaultRowHeight="13.8" x14ac:dyDescent="0.25"/>
  <cols>
    <col min="1" max="1" width="20.6640625" style="14" bestFit="1" customWidth="1"/>
    <col min="2" max="2" width="14.33203125" style="14" bestFit="1" customWidth="1"/>
    <col min="3" max="3" width="43.6640625" style="14" bestFit="1" customWidth="1"/>
    <col min="4" max="4" width="11.5546875" style="20" bestFit="1" customWidth="1"/>
    <col min="5" max="16384" width="8.88671875" style="9"/>
  </cols>
  <sheetData>
    <row r="1" spans="1:5" x14ac:dyDescent="0.25">
      <c r="A1" s="11" t="s">
        <v>0</v>
      </c>
      <c r="B1" s="11" t="s">
        <v>37</v>
      </c>
      <c r="C1" s="11" t="s">
        <v>1</v>
      </c>
      <c r="D1" s="11" t="s">
        <v>103</v>
      </c>
    </row>
    <row r="2" spans="1:5" ht="27.6" x14ac:dyDescent="0.25">
      <c r="A2" s="14" t="s">
        <v>42</v>
      </c>
      <c r="B2" s="14">
        <v>1</v>
      </c>
      <c r="C2" s="14" t="s">
        <v>110</v>
      </c>
      <c r="D2" s="20">
        <v>1</v>
      </c>
      <c r="E2" s="5" t="str">
        <f>_xlfn.CONCAT("(",D2,",'",A2,"',","",B2,",","'",C2,"'),")</f>
        <v>(1,'Vasikos Pond',1,'A small pond that has an abundance of fish, said to be blessed by Poseidon himself.'),</v>
      </c>
    </row>
    <row r="3" spans="1:5" ht="27.6" x14ac:dyDescent="0.25">
      <c r="A3" s="14" t="s">
        <v>40</v>
      </c>
      <c r="B3" s="14">
        <v>1</v>
      </c>
      <c r="C3" s="14" t="s">
        <v>106</v>
      </c>
      <c r="D3" s="20">
        <v>1</v>
      </c>
      <c r="E3" s="5" t="str">
        <f t="shared" ref="E3:E35" si="0">_xlfn.CONCAT("(",D3,",'",A3,"',","",B3,",","'",C3,"'),")</f>
        <v>(1,'Astrafterí Lake',1,'Villagers near the lake claim that Naiads prevent the lake from drying even in the harshest summer time.'),</v>
      </c>
    </row>
    <row r="4" spans="1:5" ht="27.6" x14ac:dyDescent="0.25">
      <c r="A4" s="14" t="s">
        <v>41</v>
      </c>
      <c r="B4" s="14">
        <v>1</v>
      </c>
      <c r="C4" s="14" t="s">
        <v>109</v>
      </c>
      <c r="D4" s="20">
        <v>1</v>
      </c>
      <c r="E4" s="5" t="str">
        <f t="shared" si="0"/>
        <v>(1,'Prasinos Creek',1,'A small stream that runs along the Psila Hill, where the locals believe is the home of water fairies.'),</v>
      </c>
    </row>
    <row r="5" spans="1:5" ht="27.6" x14ac:dyDescent="0.25">
      <c r="A5" s="14" t="s">
        <v>43</v>
      </c>
      <c r="B5" s="14">
        <v>1</v>
      </c>
      <c r="C5" s="14" t="s">
        <v>111</v>
      </c>
      <c r="D5" s="20">
        <v>1</v>
      </c>
      <c r="E5" s="5" t="str">
        <f t="shared" si="0"/>
        <v>(1,'Telma Swamp',1,'The legend tells the story of a general who came to this swamp to slay a hydra and never came back.'),</v>
      </c>
    </row>
    <row r="6" spans="1:5" ht="41.4" x14ac:dyDescent="0.25">
      <c r="A6" s="14" t="s">
        <v>44</v>
      </c>
      <c r="B6" s="14">
        <v>1</v>
      </c>
      <c r="C6" s="14" t="s">
        <v>105</v>
      </c>
      <c r="D6" s="20">
        <v>1</v>
      </c>
      <c r="E6" s="5" t="str">
        <f t="shared" si="0"/>
        <v>(1,'Theikos Spring',1,'A lot of traders travelled to this place to take the water believed to be blessed by the Primordial Mountains God himself.'),</v>
      </c>
    </row>
    <row r="7" spans="1:5" ht="41.4" x14ac:dyDescent="0.25">
      <c r="A7" s="14" t="s">
        <v>107</v>
      </c>
      <c r="B7" s="14">
        <v>1</v>
      </c>
      <c r="C7" s="14" t="s">
        <v>108</v>
      </c>
      <c r="D7" s="20">
        <v>1</v>
      </c>
      <c r="E7" s="5" t="str">
        <f t="shared" si="0"/>
        <v>(1,'Evrys River',1,'Some villagers believe this river is the gateway to Styx and occasionally give offerings to the river gods.'),</v>
      </c>
    </row>
    <row r="8" spans="1:5" ht="46.95" customHeight="1" x14ac:dyDescent="0.25">
      <c r="A8" s="14" t="s">
        <v>50</v>
      </c>
      <c r="B8" s="14">
        <v>1</v>
      </c>
      <c r="C8" s="14" t="s">
        <v>100</v>
      </c>
      <c r="D8" s="20">
        <v>1.2</v>
      </c>
      <c r="E8" s="5" t="str">
        <f t="shared" si="0"/>
        <v>(1,2,'Iremia River',1,'A long river stretches across Ourea and Seran, with plenty of fish to catch. The Seranese called this river Bengawan.'),</v>
      </c>
    </row>
    <row r="9" spans="1:5" ht="41.4" x14ac:dyDescent="0.25">
      <c r="A9" s="18" t="s">
        <v>115</v>
      </c>
      <c r="B9" s="18">
        <v>1</v>
      </c>
      <c r="C9" s="18" t="s">
        <v>116</v>
      </c>
      <c r="D9" s="20">
        <v>2</v>
      </c>
      <c r="E9" s="5" t="str">
        <f t="shared" si="0"/>
        <v>(2,'Saint Luke Pond',1,'The pond that belongs to the church, the first fish that get capture by the fisherman has to be donated to the church.'),</v>
      </c>
    </row>
    <row r="10" spans="1:5" ht="41.4" x14ac:dyDescent="0.25">
      <c r="A10" s="18" t="s">
        <v>121</v>
      </c>
      <c r="B10" s="18">
        <v>1</v>
      </c>
      <c r="C10" s="18" t="s">
        <v>120</v>
      </c>
      <c r="D10" s="20">
        <v>2</v>
      </c>
      <c r="E10" s="5" t="str">
        <f t="shared" si="0"/>
        <v>(2,'Prince Kaiden Reservoir',1,'The late Prince Kaiden is said to have drowned in this lake at a young age, and his father, King Simon turn the lake into a reservoir.'),</v>
      </c>
    </row>
    <row r="11" spans="1:5" ht="55.2" x14ac:dyDescent="0.25">
      <c r="A11" s="18" t="s">
        <v>126</v>
      </c>
      <c r="B11" s="18">
        <v>1</v>
      </c>
      <c r="C11" s="18" t="s">
        <v>319</v>
      </c>
      <c r="D11" s="20">
        <v>2</v>
      </c>
      <c r="E11" s="5" t="str">
        <f t="shared" si="0"/>
        <v>(2,'Merman Marsh',1,'Local legend once claims a merman drowned a fisherman in the marsh. Others dismiss the tale, believing the sightings were caused by the soldiers secretly disposing of mages corpses.'),</v>
      </c>
    </row>
    <row r="12" spans="1:5" ht="55.2" x14ac:dyDescent="0.25">
      <c r="A12" s="18" t="s">
        <v>118</v>
      </c>
      <c r="B12" s="18">
        <v>1</v>
      </c>
      <c r="C12" s="18" t="s">
        <v>125</v>
      </c>
      <c r="D12" s="20">
        <v>2</v>
      </c>
      <c r="E12" s="5" t="str">
        <f t="shared" si="0"/>
        <v>(2,'Wisp Swamp',1,'Countless reports tell a story of a will-o'-the-wisp appearing at night, trying to lure a fisherman to the depths of the swamp, where some people claim it was a den of mages.'),</v>
      </c>
    </row>
    <row r="13" spans="1:5" ht="41.4" x14ac:dyDescent="0.25">
      <c r="A13" s="18" t="s">
        <v>119</v>
      </c>
      <c r="B13" s="18">
        <v>1</v>
      </c>
      <c r="C13" s="18" t="s">
        <v>122</v>
      </c>
      <c r="D13" s="20">
        <v>2</v>
      </c>
      <c r="E13" s="5" t="str">
        <f t="shared" si="0"/>
        <v>(2,'Sofia River',1,'Named after the old Queen, who legend said was blessed by the god, and the mother of the first king of Rosegleam.'),</v>
      </c>
    </row>
    <row r="14" spans="1:5" ht="41.4" x14ac:dyDescent="0.25">
      <c r="A14" s="18" t="s">
        <v>123</v>
      </c>
      <c r="B14" s="18">
        <v>1</v>
      </c>
      <c r="C14" s="18" t="s">
        <v>124</v>
      </c>
      <c r="D14" s="20">
        <v>2</v>
      </c>
      <c r="E14" s="5" t="str">
        <f t="shared" si="0"/>
        <v>(2,'Becket Cross Canal',1,'A man-made canal that connects to the Prince Kaiden Reservoir to maintain water for the city. Fishing is strictly prohibited without permit'),</v>
      </c>
    </row>
    <row r="15" spans="1:5" ht="33.6" customHeight="1" x14ac:dyDescent="0.25">
      <c r="A15" s="18" t="s">
        <v>46</v>
      </c>
      <c r="B15" s="18">
        <v>2</v>
      </c>
      <c r="C15" s="18" t="s">
        <v>47</v>
      </c>
      <c r="D15" s="20">
        <v>3</v>
      </c>
      <c r="E15" s="5" t="str">
        <f t="shared" si="0"/>
        <v>(3,'Purba Mangrove',2,'It is said that there was once a thriving civilization located in this mangrove forest.'),</v>
      </c>
    </row>
    <row r="16" spans="1:5" ht="55.2" x14ac:dyDescent="0.25">
      <c r="A16" s="18" t="s">
        <v>45</v>
      </c>
      <c r="B16" s="18">
        <v>1</v>
      </c>
      <c r="C16" s="18" t="s">
        <v>114</v>
      </c>
      <c r="D16" s="20">
        <v>3</v>
      </c>
      <c r="E16" s="5" t="str">
        <f t="shared" si="0"/>
        <v>(3,'Kaca Lake',1,'Kaca Lake earned its name from its crystal clear water that makes the surface appear like glass. Local legend claims that on a full moon, you can gaze upon it and see your future self.'),</v>
      </c>
    </row>
    <row r="17" spans="1:5" ht="41.4" x14ac:dyDescent="0.25">
      <c r="A17" s="18" t="s">
        <v>48</v>
      </c>
      <c r="B17" s="18">
        <v>1</v>
      </c>
      <c r="C17" s="18" t="s">
        <v>49</v>
      </c>
      <c r="D17" s="20">
        <v>3</v>
      </c>
      <c r="E17" s="5" t="str">
        <f t="shared" si="0"/>
        <v>(3,'Seribu Arus River',1,'An infamous river that has an unpredictable current that shifts without warning. The home of many exotic fish can only be found here.'),</v>
      </c>
    </row>
    <row r="18" spans="1:5" ht="27.6" x14ac:dyDescent="0.25">
      <c r="A18" s="18" t="s">
        <v>51</v>
      </c>
      <c r="B18" s="18">
        <v>1</v>
      </c>
      <c r="C18" s="18" t="s">
        <v>112</v>
      </c>
      <c r="D18" s="20">
        <v>3</v>
      </c>
      <c r="E18" s="5" t="str">
        <f t="shared" si="0"/>
        <v>(3,'Mentari Pond',1,'A pond inside Mentari Village is said to belong to an old general long before Mentari village establish.'),</v>
      </c>
    </row>
    <row r="19" spans="1:5" ht="27.6" x14ac:dyDescent="0.25">
      <c r="A19" s="18" t="s">
        <v>65</v>
      </c>
      <c r="B19" s="18">
        <v>1</v>
      </c>
      <c r="C19" s="18" t="s">
        <v>95</v>
      </c>
      <c r="D19" s="20">
        <v>3</v>
      </c>
      <c r="E19" s="5" t="str">
        <f t="shared" si="0"/>
        <v>(3,'Seroja Marsh',1,'A sprawling marshland renowned for its field of lotus covering the entire surface of water.'),</v>
      </c>
    </row>
    <row r="20" spans="1:5" ht="27.6" x14ac:dyDescent="0.25">
      <c r="A20" s="18" t="s">
        <v>99</v>
      </c>
      <c r="B20" s="18">
        <v>1</v>
      </c>
      <c r="C20" s="18" t="s">
        <v>101</v>
      </c>
      <c r="D20" s="20">
        <v>3</v>
      </c>
      <c r="E20" s="5" t="str">
        <f t="shared" si="0"/>
        <v>(3,'Batu Kawah Lake',1,'This lake forms from the erupted volcano near the town and is now home to many fish.'),</v>
      </c>
    </row>
    <row r="21" spans="1:5" ht="41.4" x14ac:dyDescent="0.25">
      <c r="A21" s="18" t="s">
        <v>102</v>
      </c>
      <c r="B21" s="18">
        <v>1</v>
      </c>
      <c r="C21" s="18" t="s">
        <v>113</v>
      </c>
      <c r="D21" s="20">
        <v>3</v>
      </c>
      <c r="E21" s="5" t="str">
        <f t="shared" si="0"/>
        <v>(3,'Seroja Darah Swamp',1,'Swamp water inside Seroja Marshes, home of many predatory fish and terrifying Teras, where blood lotus said to come from'),</v>
      </c>
    </row>
    <row r="22" spans="1:5" ht="27.6" x14ac:dyDescent="0.25">
      <c r="A22" s="18" t="s">
        <v>96</v>
      </c>
      <c r="B22" s="18">
        <v>3</v>
      </c>
      <c r="C22" s="18" t="s">
        <v>98</v>
      </c>
      <c r="D22" s="20">
        <v>3</v>
      </c>
      <c r="E22" s="5" t="str">
        <f t="shared" si="0"/>
        <v>(3,'Tanjung Seran Harbor',3,'The busiest harbor in Seran, where all the sea commodities are transported and distributed.'),</v>
      </c>
    </row>
    <row r="23" spans="1:5" ht="27.6" x14ac:dyDescent="0.25">
      <c r="A23" s="18" t="s">
        <v>133</v>
      </c>
      <c r="B23" s="18">
        <v>2</v>
      </c>
      <c r="C23" s="18" t="s">
        <v>136</v>
      </c>
      <c r="D23" s="20">
        <v>4</v>
      </c>
      <c r="E23" s="5" t="str">
        <f t="shared" si="0"/>
        <v>(4,'Ægir Fjord',2,'Old tales tell that the fjord was carved when Ægir struck down a great Draugr with a single blow.'),</v>
      </c>
    </row>
    <row r="24" spans="1:5" ht="41.4" x14ac:dyDescent="0.25">
      <c r="A24" s="18" t="s">
        <v>132</v>
      </c>
      <c r="B24" s="18">
        <v>1</v>
      </c>
      <c r="C24" s="18" t="s">
        <v>135</v>
      </c>
      <c r="D24" s="20">
        <v>4</v>
      </c>
      <c r="E24" s="5" t="str">
        <f t="shared" si="0"/>
        <v>(4,'Mikill Hvítar Lake',1,'At the dead of the night, fishermen can hear an enchanting music coming from the lake, luring them to swim deep into the water.'),</v>
      </c>
    </row>
    <row r="25" spans="1:5" ht="41.4" x14ac:dyDescent="0.25">
      <c r="A25" s="18" t="s">
        <v>134</v>
      </c>
      <c r="B25" s="18">
        <v>1</v>
      </c>
      <c r="C25" s="18" t="s">
        <v>561</v>
      </c>
      <c r="D25" s="20">
        <v>4</v>
      </c>
      <c r="E25" s="5" t="str">
        <f t="shared" si="0"/>
        <v>(4,'Ormr River',1,'Once upon a time, there was a giantess powerful enough to increase the Ormr River water to drown Thor.'),</v>
      </c>
    </row>
    <row r="26" spans="1:5" ht="69" x14ac:dyDescent="0.25">
      <c r="A26" s="18" t="s">
        <v>137</v>
      </c>
      <c r="B26" s="18">
        <v>1</v>
      </c>
      <c r="C26" s="18" t="s">
        <v>560</v>
      </c>
      <c r="D26" s="20">
        <v>4</v>
      </c>
      <c r="E26" s="5" t="str">
        <f t="shared" si="0"/>
        <v>(4,'Freyja River',1,'Old sailors claim the river was formed by the saliva of Fenrir when it was bound by the gods. During heavy rain, the river will turn white, indicating that the Fenrir may still be alive somewhere along the river.'),</v>
      </c>
    </row>
    <row r="27" spans="1:5" ht="41.4" x14ac:dyDescent="0.25">
      <c r="A27" s="18" t="s">
        <v>138</v>
      </c>
      <c r="B27" s="18">
        <v>1</v>
      </c>
      <c r="C27" s="18" t="s">
        <v>144</v>
      </c>
      <c r="D27" s="20">
        <v>4</v>
      </c>
      <c r="E27" s="5" t="str">
        <f t="shared" si="0"/>
        <v>(4,'Jötunn Cave',1,'The skalds tell an ancient tale of Ymir, the ancestor of all the giants. Some claim that the cave reaches deep into the roots of the World Tree.'),</v>
      </c>
    </row>
    <row r="28" spans="1:5" ht="41.4" x14ac:dyDescent="0.25">
      <c r="A28" s="18" t="s">
        <v>141</v>
      </c>
      <c r="B28" s="18">
        <v>1</v>
      </c>
      <c r="C28" s="18" t="s">
        <v>142</v>
      </c>
      <c r="D28" s="20">
        <v>4</v>
      </c>
      <c r="E28" s="5" t="str">
        <f t="shared" si="0"/>
        <v>(4,'Reyr Marsh',1,'During a foggy night, fishermen reported movement along the tall reed, but they never saw anything after that.'),</v>
      </c>
    </row>
    <row r="29" spans="1:5" ht="55.2" x14ac:dyDescent="0.25">
      <c r="A29" s="18" t="s">
        <v>143</v>
      </c>
      <c r="B29" s="18">
        <v>1</v>
      </c>
      <c r="C29" s="18" t="s">
        <v>318</v>
      </c>
      <c r="D29" s="20">
        <v>4</v>
      </c>
      <c r="E29" s="5" t="str">
        <f t="shared" si="0"/>
        <v>(4,'Yrviðr Swamp',1,'Sailors around Tidehaven convinced Yew Tree to grow deep inside the swamp, but, because of the high concentration of mana there, it became the home of Teras.'),</v>
      </c>
    </row>
    <row r="30" spans="1:5" ht="27.6" x14ac:dyDescent="0.25">
      <c r="A30" s="18" t="s">
        <v>127</v>
      </c>
      <c r="B30" s="18">
        <v>3</v>
      </c>
      <c r="C30" s="18" t="s">
        <v>129</v>
      </c>
      <c r="D30" s="20">
        <v>4</v>
      </c>
      <c r="E30" s="5" t="str">
        <f t="shared" si="0"/>
        <v>(4,'Gröfgarðr Shore',3,'Powerful waves carry the shipwreck of a sailor unfortunate enough to be caught in Rán net.'),</v>
      </c>
    </row>
    <row r="31" spans="1:5" ht="41.4" x14ac:dyDescent="0.25">
      <c r="A31" s="18" t="s">
        <v>130</v>
      </c>
      <c r="B31" s="18">
        <v>3</v>
      </c>
      <c r="C31" s="18" t="s">
        <v>131</v>
      </c>
      <c r="D31" s="20">
        <v>4</v>
      </c>
      <c r="E31" s="5" t="str">
        <f t="shared" si="0"/>
        <v>(4,'Sjókona Beach',3,'Sailor tells the tale of a women who is singing at the rock of Sjókona Beach to her lover, who abandons her in search of riches. '),</v>
      </c>
    </row>
    <row r="32" spans="1:5" ht="41.4" x14ac:dyDescent="0.25">
      <c r="A32" s="18" t="s">
        <v>139</v>
      </c>
      <c r="B32" s="18">
        <v>3</v>
      </c>
      <c r="C32" s="18" t="s">
        <v>140</v>
      </c>
      <c r="D32" s="20">
        <v>4</v>
      </c>
      <c r="E32" s="5" t="str">
        <f t="shared" si="0"/>
        <v>(4,'Harma Ocean',3,'The tales of a grieving father surrounding this part of the ocean, sailors claim the father souls are still wandering the ocean, trying to find his son body.'),</v>
      </c>
    </row>
    <row r="33" spans="1:5" ht="55.2" x14ac:dyDescent="0.25">
      <c r="A33" s="14" t="s">
        <v>556</v>
      </c>
      <c r="B33" s="14">
        <v>2</v>
      </c>
      <c r="C33" s="14" t="s">
        <v>557</v>
      </c>
      <c r="D33" s="20">
        <v>1</v>
      </c>
      <c r="E33" s="5" t="str">
        <f t="shared" si="0"/>
        <v>(1,'Evrys Estuary',2,'Said to be the place where Naiads give offerings to the god of the sea himself, Poseidon. Some even say this is the place where Poseidon mated with a Naiad named Chione.'),</v>
      </c>
    </row>
    <row r="34" spans="1:5" ht="41.4" x14ac:dyDescent="0.25">
      <c r="A34" s="18" t="s">
        <v>558</v>
      </c>
      <c r="B34" s="18">
        <v>2</v>
      </c>
      <c r="C34" s="18" t="s">
        <v>559</v>
      </c>
      <c r="D34" s="20">
        <v>3</v>
      </c>
      <c r="E34" s="5" t="str">
        <f t="shared" si="0"/>
        <v>(3,'Seribu Arus Estuary',2,'It is said that a rich merchant's daughter drowned herself here and transformed into a white crocodile with the help of the lake spirit.'),</v>
      </c>
    </row>
    <row r="35" spans="1:5" ht="41.4" x14ac:dyDescent="0.25">
      <c r="A35" s="14" t="s">
        <v>562</v>
      </c>
      <c r="B35" s="14">
        <v>3</v>
      </c>
      <c r="C35" s="14" t="s">
        <v>563</v>
      </c>
      <c r="D35" s="20">
        <v>1</v>
      </c>
      <c r="E35" s="5" t="str">
        <f t="shared" si="0"/>
        <v>(1,'Roufíchtra Ocean',3,'The sea monster Charybdis is said to be living somewhere around this ocean, pulling the sea three times a day, creating a massive whirlpool.'),</v>
      </c>
    </row>
  </sheetData>
  <autoFilter ref="A1:D35" xr:uid="{6DF8A856-5E3F-4F82-AC87-CA307D114298}"/>
  <sortState xmlns:xlrd2="http://schemas.microsoft.com/office/spreadsheetml/2017/richdata2" ref="A2:D29">
    <sortCondition ref="D2:D35"/>
    <sortCondition ref="B2:B3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612E-A437-4A38-BD7B-1482265E1A30}">
  <sheetPr codeName="Sheet8"/>
  <dimension ref="A1:N34"/>
  <sheetViews>
    <sheetView workbookViewId="0">
      <pane ySplit="1" topLeftCell="A3" activePane="bottomLeft" state="frozen"/>
      <selection pane="bottomLeft" activeCell="H17" sqref="H17"/>
    </sheetView>
  </sheetViews>
  <sheetFormatPr defaultColWidth="8.88671875" defaultRowHeight="13.8" x14ac:dyDescent="0.25"/>
  <cols>
    <col min="1" max="2" width="8.88671875" style="6"/>
    <col min="3" max="3" width="11" style="6" bestFit="1" customWidth="1"/>
    <col min="4" max="4" width="8" style="6" bestFit="1" customWidth="1"/>
    <col min="5" max="6" width="8.88671875" style="6"/>
    <col min="7" max="7" width="9.88671875" style="6" bestFit="1" customWidth="1"/>
    <col min="8" max="8" width="11" style="6" bestFit="1" customWidth="1"/>
    <col min="9" max="16384" width="8.88671875" style="6"/>
  </cols>
  <sheetData>
    <row r="1" spans="1:14" x14ac:dyDescent="0.25">
      <c r="A1" s="10" t="s">
        <v>2</v>
      </c>
      <c r="B1" s="10" t="s">
        <v>321</v>
      </c>
      <c r="C1" s="10" t="s">
        <v>0</v>
      </c>
      <c r="D1" s="10" t="s">
        <v>310</v>
      </c>
      <c r="F1" s="10" t="s">
        <v>2</v>
      </c>
      <c r="G1" s="10" t="s">
        <v>37</v>
      </c>
      <c r="H1" s="10" t="s">
        <v>0</v>
      </c>
      <c r="I1" s="10" t="s">
        <v>310</v>
      </c>
      <c r="K1" s="10" t="s">
        <v>2</v>
      </c>
      <c r="L1" s="10" t="s">
        <v>321</v>
      </c>
      <c r="M1" s="10" t="s">
        <v>0</v>
      </c>
      <c r="N1" s="10" t="s">
        <v>310</v>
      </c>
    </row>
    <row r="2" spans="1:14" x14ac:dyDescent="0.25">
      <c r="A2" s="6" t="s">
        <v>311</v>
      </c>
      <c r="B2" s="6" t="s">
        <v>37</v>
      </c>
      <c r="C2" s="6" t="s">
        <v>39</v>
      </c>
      <c r="D2" s="6" cm="1">
        <f t="array" ref="D2">SUMPRODUCT(--ISNUMBER(SEARCH("1",Bait!C2:C100)))</f>
        <v>33</v>
      </c>
      <c r="F2" s="6" t="s">
        <v>145</v>
      </c>
      <c r="G2" s="6" t="str">
        <f>_xlfn.XLOOKUP(H2,Fish!C:C,Fish!B:B,"")</f>
        <v>Seawater</v>
      </c>
      <c r="H2" s="6" t="s">
        <v>287</v>
      </c>
      <c r="I2" s="6">
        <f>COUNTIFS(Fish!C:C,H2,Fish!B:B,G2)</f>
        <v>1</v>
      </c>
      <c r="K2" s="6" t="s">
        <v>311</v>
      </c>
      <c r="L2" s="6" t="s">
        <v>320</v>
      </c>
      <c r="M2" s="6" t="s">
        <v>310</v>
      </c>
      <c r="N2" s="6">
        <f>COUNTA(Bait!A:A)-1</f>
        <v>43</v>
      </c>
    </row>
    <row r="3" spans="1:14" x14ac:dyDescent="0.25">
      <c r="A3" s="6" t="s">
        <v>311</v>
      </c>
      <c r="B3" s="6" t="s">
        <v>37</v>
      </c>
      <c r="C3" s="6" t="s">
        <v>182</v>
      </c>
      <c r="D3" s="6" cm="1">
        <f t="array" ref="D3">SUMPRODUCT(--ISNUMBER(SEARCH("2",Bait!C2:C100)))</f>
        <v>22</v>
      </c>
      <c r="F3" s="6" t="s">
        <v>145</v>
      </c>
      <c r="G3" s="6" t="str">
        <f>_xlfn.XLOOKUP(H3,Fish!C:C,Fish!B:B,"")</f>
        <v>Brackish</v>
      </c>
      <c r="H3" s="6" t="s">
        <v>268</v>
      </c>
      <c r="I3" s="6">
        <f>COUNTIFS(Fish!C:C,H3,Fish!B:B,G3)</f>
        <v>2</v>
      </c>
      <c r="K3" s="6" t="s">
        <v>145</v>
      </c>
      <c r="L3" s="6" t="s">
        <v>320</v>
      </c>
      <c r="M3" s="6" t="s">
        <v>310</v>
      </c>
      <c r="N3" s="6">
        <f>COUNTA(Fish!A:A)-1</f>
        <v>100</v>
      </c>
    </row>
    <row r="4" spans="1:14" x14ac:dyDescent="0.25">
      <c r="A4" s="6" t="s">
        <v>311</v>
      </c>
      <c r="B4" s="6" t="s">
        <v>37</v>
      </c>
      <c r="C4" s="6" t="s">
        <v>97</v>
      </c>
      <c r="D4" s="6" cm="1">
        <f t="array" ref="D4">SUMPRODUCT(--ISNUMBER(SEARCH("3",Bait!C2:C100)))</f>
        <v>16</v>
      </c>
      <c r="F4" s="6" t="s">
        <v>145</v>
      </c>
      <c r="G4" s="6" t="str">
        <f>_xlfn.XLOOKUP(H4,Fish!C:C,Fish!B:B,"")</f>
        <v>Seawater</v>
      </c>
      <c r="H4" s="6" t="s">
        <v>304</v>
      </c>
      <c r="I4" s="6">
        <f>COUNTIFS(Fish!C:C,H4,Fish!B:B,G4)</f>
        <v>1</v>
      </c>
      <c r="K4" s="6" t="s">
        <v>145</v>
      </c>
      <c r="L4" s="6" t="s">
        <v>330</v>
      </c>
      <c r="M4" s="6" t="s">
        <v>310</v>
      </c>
      <c r="N4" s="6" cm="1">
        <f t="array" ref="N4">ROWS(_xlfn.UNIQUE(_xlfn._xlws.FILTER(Mutation!A2:A1000,Mutation!A2:A1000&lt;&gt;"")))</f>
        <v>100</v>
      </c>
    </row>
    <row r="5" spans="1:14" x14ac:dyDescent="0.25">
      <c r="A5" s="6" t="s">
        <v>145</v>
      </c>
      <c r="B5" s="6" t="s">
        <v>7</v>
      </c>
      <c r="C5" s="6" t="s">
        <v>15</v>
      </c>
      <c r="D5" s="6">
        <f>COUNTIF(Fish!D:D,"Common")</f>
        <v>40</v>
      </c>
      <c r="F5" s="6" t="s">
        <v>145</v>
      </c>
      <c r="G5" s="6" t="str">
        <f>_xlfn.XLOOKUP(H5,Fish!C:C,Fish!B:B,"")</f>
        <v>Seawater</v>
      </c>
      <c r="H5" s="6" t="s">
        <v>354</v>
      </c>
      <c r="I5" s="6">
        <f>COUNTIFS(Fish!C:C,H5,Fish!B:B,G5)</f>
        <v>1</v>
      </c>
      <c r="K5" s="6" t="s">
        <v>52</v>
      </c>
      <c r="L5" s="6" t="s">
        <v>320</v>
      </c>
      <c r="M5" s="6" t="s">
        <v>310</v>
      </c>
      <c r="N5" s="6">
        <f>COUNTA(Location!A:A)-1</f>
        <v>34</v>
      </c>
    </row>
    <row r="6" spans="1:14" x14ac:dyDescent="0.25">
      <c r="A6" s="6" t="s">
        <v>145</v>
      </c>
      <c r="B6" s="6" t="s">
        <v>7</v>
      </c>
      <c r="C6" s="6" t="s">
        <v>237</v>
      </c>
      <c r="D6" s="6">
        <f>COUNTIF(Fish!D:D,"Event")</f>
        <v>0</v>
      </c>
      <c r="F6" s="6" t="s">
        <v>145</v>
      </c>
      <c r="G6" s="6" t="str">
        <f>_xlfn.XLOOKUP(H6,Fish!C:C,Fish!B:B,"")</f>
        <v>Seawater</v>
      </c>
      <c r="H6" s="6" t="s">
        <v>307</v>
      </c>
      <c r="I6" s="6">
        <f>COUNTIFS(Fish!C:C,H6,Fish!B:B,G6)</f>
        <v>3</v>
      </c>
      <c r="K6" s="6" t="s">
        <v>330</v>
      </c>
      <c r="L6" s="6" t="s">
        <v>320</v>
      </c>
      <c r="M6" s="6" t="s">
        <v>310</v>
      </c>
      <c r="N6" s="6">
        <f>COUNTA(Mutation!B:B)-1</f>
        <v>200</v>
      </c>
    </row>
    <row r="7" spans="1:14" x14ac:dyDescent="0.25">
      <c r="A7" s="6" t="s">
        <v>145</v>
      </c>
      <c r="B7" s="6" t="s">
        <v>7</v>
      </c>
      <c r="C7" s="6" t="s">
        <v>235</v>
      </c>
      <c r="D7" s="6">
        <f>COUNTIF(Fish!D:D,"Legendary")</f>
        <v>0</v>
      </c>
      <c r="F7" s="6" t="s">
        <v>145</v>
      </c>
      <c r="G7" s="6" t="s">
        <v>182</v>
      </c>
      <c r="H7" s="6" t="s">
        <v>34</v>
      </c>
      <c r="I7" s="6">
        <f>COUNTIFS(Fish!C:C,H7,Fish!B:B,G7)</f>
        <v>2</v>
      </c>
      <c r="K7" s="6" t="s">
        <v>312</v>
      </c>
      <c r="L7" s="6" t="s">
        <v>320</v>
      </c>
      <c r="M7" s="6" t="s">
        <v>310</v>
      </c>
      <c r="N7" s="6">
        <f>COUNTA(Rod!A:A)-1</f>
        <v>18</v>
      </c>
    </row>
    <row r="8" spans="1:14" x14ac:dyDescent="0.25">
      <c r="A8" s="6" t="s">
        <v>145</v>
      </c>
      <c r="B8" s="6" t="s">
        <v>7</v>
      </c>
      <c r="C8" s="6" t="s">
        <v>236</v>
      </c>
      <c r="D8" s="6">
        <f>COUNTIF(Fish!D:D,"Mythical")</f>
        <v>0</v>
      </c>
      <c r="F8" s="6" t="s">
        <v>145</v>
      </c>
      <c r="G8" s="6" t="str">
        <f>_xlfn.XLOOKUP(H8,Fish!C:C,Fish!B:B,"")</f>
        <v>Brackish</v>
      </c>
      <c r="H8" s="6" t="s">
        <v>34</v>
      </c>
      <c r="I8" s="6">
        <f>COUNTIFS(Fish!C:C,H8,Fish!B:B,G8)</f>
        <v>2</v>
      </c>
    </row>
    <row r="9" spans="1:14" x14ac:dyDescent="0.25">
      <c r="A9" s="6" t="s">
        <v>145</v>
      </c>
      <c r="B9" s="6" t="s">
        <v>7</v>
      </c>
      <c r="C9" s="6" t="s">
        <v>20</v>
      </c>
      <c r="D9" s="6">
        <f>COUNTIF(Fish!D:D,"Rare")</f>
        <v>14</v>
      </c>
      <c r="F9" s="6" t="s">
        <v>145</v>
      </c>
      <c r="G9" s="6" t="s">
        <v>97</v>
      </c>
      <c r="H9" s="6" t="s">
        <v>34</v>
      </c>
      <c r="I9" s="6">
        <f>COUNTIFS(Fish!C:C,H9,Fish!B:B,G9)</f>
        <v>4</v>
      </c>
    </row>
    <row r="10" spans="1:14" x14ac:dyDescent="0.25">
      <c r="A10" s="6" t="s">
        <v>145</v>
      </c>
      <c r="B10" s="6" t="s">
        <v>7</v>
      </c>
      <c r="C10" s="6" t="s">
        <v>17</v>
      </c>
      <c r="D10" s="6">
        <f>COUNTIF(Fish!D:D,"Uncommon")</f>
        <v>46</v>
      </c>
      <c r="F10" s="6" t="s">
        <v>145</v>
      </c>
      <c r="G10" s="6" t="str">
        <f>_xlfn.XLOOKUP(H10,Fish!C:C,Fish!B:B,"")</f>
        <v>Freshwater</v>
      </c>
      <c r="H10" s="6" t="s">
        <v>14</v>
      </c>
      <c r="I10" s="6">
        <f>COUNTIFS(Fish!C:C,H10,Fish!B:B,G10)</f>
        <v>10</v>
      </c>
    </row>
    <row r="11" spans="1:14" x14ac:dyDescent="0.25">
      <c r="A11" s="6" t="s">
        <v>145</v>
      </c>
      <c r="B11" s="6" t="s">
        <v>37</v>
      </c>
      <c r="C11" s="6" t="s">
        <v>182</v>
      </c>
      <c r="D11" s="6">
        <f>COUNTIF(Fish!B:B,"Brackish")</f>
        <v>24</v>
      </c>
      <c r="F11" s="6" t="s">
        <v>145</v>
      </c>
      <c r="G11" s="6" t="s">
        <v>182</v>
      </c>
      <c r="H11" s="6" t="s">
        <v>221</v>
      </c>
      <c r="I11" s="6">
        <f>COUNTIFS(Fish!C:C,H11,Fish!B:B,G11)</f>
        <v>2</v>
      </c>
    </row>
    <row r="12" spans="1:14" x14ac:dyDescent="0.25">
      <c r="A12" s="6" t="s">
        <v>145</v>
      </c>
      <c r="B12" s="6" t="s">
        <v>37</v>
      </c>
      <c r="C12" s="6" t="s">
        <v>39</v>
      </c>
      <c r="D12" s="6">
        <f>COUNTIF(Fish!B:B,"Freshwater")</f>
        <v>50</v>
      </c>
      <c r="F12" s="6" t="s">
        <v>145</v>
      </c>
      <c r="G12" s="6" t="str">
        <f>_xlfn.XLOOKUP(H12,Fish!C:C,Fish!B:B,"")</f>
        <v>Brackish</v>
      </c>
      <c r="H12" s="6" t="s">
        <v>221</v>
      </c>
      <c r="I12" s="6">
        <f>COUNTIFS(Fish!C:C,H12,Fish!B:B,G12)</f>
        <v>2</v>
      </c>
    </row>
    <row r="13" spans="1:14" x14ac:dyDescent="0.25">
      <c r="A13" s="6" t="s">
        <v>145</v>
      </c>
      <c r="B13" s="6" t="s">
        <v>37</v>
      </c>
      <c r="C13" s="6" t="s">
        <v>97</v>
      </c>
      <c r="D13" s="6">
        <f>COUNTIF(Fish!B:B,"Seawater")</f>
        <v>26</v>
      </c>
      <c r="F13" s="6" t="s">
        <v>145</v>
      </c>
      <c r="G13" s="6" t="s">
        <v>97</v>
      </c>
      <c r="H13" s="6" t="s">
        <v>221</v>
      </c>
      <c r="I13" s="6">
        <f>COUNTIFS(Fish!C:C,H13,Fish!B:B,G13)</f>
        <v>2</v>
      </c>
    </row>
    <row r="14" spans="1:14" x14ac:dyDescent="0.25">
      <c r="A14" s="6" t="s">
        <v>52</v>
      </c>
      <c r="B14" s="6" t="s">
        <v>103</v>
      </c>
      <c r="C14" s="6" t="s">
        <v>55</v>
      </c>
      <c r="D14" s="6">
        <f>COUNTIF(Location!D:D,"Ourea")</f>
        <v>0</v>
      </c>
      <c r="F14" s="6" t="s">
        <v>145</v>
      </c>
      <c r="G14" s="6" t="str">
        <f>_xlfn.XLOOKUP(H14,Fish!C:C,Fish!B:B,"")</f>
        <v>Brackish</v>
      </c>
      <c r="H14" s="6" t="s">
        <v>282</v>
      </c>
      <c r="I14" s="6">
        <f>COUNTIFS(Fish!C:C,H14,Fish!B:B,G14)</f>
        <v>4</v>
      </c>
    </row>
    <row r="15" spans="1:14" x14ac:dyDescent="0.25">
      <c r="A15" s="6" t="s">
        <v>52</v>
      </c>
      <c r="B15" s="6" t="s">
        <v>103</v>
      </c>
      <c r="C15" s="6" t="s">
        <v>117</v>
      </c>
      <c r="D15" s="6">
        <f>COUNTIF(Location!D:D,"Rosegleam")</f>
        <v>0</v>
      </c>
      <c r="F15" s="6" t="s">
        <v>145</v>
      </c>
      <c r="G15" s="6" t="str">
        <f>_xlfn.XLOOKUP(H15,Fish!C:C,Fish!B:B,"")</f>
        <v>Seawater</v>
      </c>
      <c r="H15" s="6" t="s">
        <v>297</v>
      </c>
      <c r="I15" s="6">
        <f>COUNTIFS(Fish!C:C,H15,Fish!B:B,G15)</f>
        <v>1</v>
      </c>
    </row>
    <row r="16" spans="1:14" x14ac:dyDescent="0.25">
      <c r="A16" s="6" t="s">
        <v>52</v>
      </c>
      <c r="B16" s="6" t="s">
        <v>103</v>
      </c>
      <c r="C16" s="6" t="s">
        <v>104</v>
      </c>
      <c r="D16" s="6">
        <f>COUNTIF(Location!D:D,"Seran")</f>
        <v>0</v>
      </c>
      <c r="F16" s="6" t="s">
        <v>145</v>
      </c>
      <c r="G16" s="6" t="str">
        <f>_xlfn.XLOOKUP(H16,Fish!C:C,Fish!B:B,"")</f>
        <v>Seawater</v>
      </c>
      <c r="H16" s="6" t="s">
        <v>1084</v>
      </c>
      <c r="I16" s="6">
        <f>COUNTIFS(Fish!C:C,H16,Fish!B:B,G16)</f>
        <v>1</v>
      </c>
    </row>
    <row r="17" spans="1:9" x14ac:dyDescent="0.25">
      <c r="A17" s="6" t="s">
        <v>52</v>
      </c>
      <c r="B17" s="6" t="s">
        <v>103</v>
      </c>
      <c r="C17" s="6" t="s">
        <v>128</v>
      </c>
      <c r="D17" s="6">
        <f>COUNTIF(Location!D:D,"Tidehaven")</f>
        <v>0</v>
      </c>
      <c r="F17" s="6" t="s">
        <v>145</v>
      </c>
      <c r="G17" s="6" t="str">
        <f>_xlfn.XLOOKUP(H17,Fish!C:C,Fish!B:B,"")</f>
        <v>Brackish</v>
      </c>
      <c r="H17" s="6" t="s">
        <v>346</v>
      </c>
      <c r="I17" s="6">
        <f>COUNTIFS(Fish!C:C,H17,Fish!B:B,G17)</f>
        <v>1</v>
      </c>
    </row>
    <row r="18" spans="1:9" x14ac:dyDescent="0.25">
      <c r="A18" s="6" t="s">
        <v>52</v>
      </c>
      <c r="B18" s="6" t="s">
        <v>37</v>
      </c>
      <c r="C18" s="6" t="s">
        <v>182</v>
      </c>
      <c r="D18" s="6">
        <f>COUNTIF(Location!B:B,"2")</f>
        <v>4</v>
      </c>
      <c r="F18" s="6" t="s">
        <v>145</v>
      </c>
      <c r="G18" s="6" t="s">
        <v>97</v>
      </c>
      <c r="H18" s="6" t="s">
        <v>346</v>
      </c>
      <c r="I18" s="6">
        <f>COUNTIFS(Fish!C:C,H18,Fish!B:B,G18)</f>
        <v>1</v>
      </c>
    </row>
    <row r="19" spans="1:9" x14ac:dyDescent="0.25">
      <c r="A19" s="6" t="s">
        <v>52</v>
      </c>
      <c r="B19" s="6" t="s">
        <v>37</v>
      </c>
      <c r="C19" s="6" t="s">
        <v>39</v>
      </c>
      <c r="D19" s="6">
        <f>COUNTIF(Location!B:B,"1")</f>
        <v>25</v>
      </c>
      <c r="F19" s="6" t="s">
        <v>145</v>
      </c>
      <c r="G19" s="6" t="str">
        <f>_xlfn.XLOOKUP(H19,Fish!C:C,Fish!B:B,"")</f>
        <v>Brackish</v>
      </c>
      <c r="H19" s="6" t="s">
        <v>350</v>
      </c>
      <c r="I19" s="6">
        <f>COUNTIFS(Fish!C:C,H19,Fish!B:B,G19)</f>
        <v>1</v>
      </c>
    </row>
    <row r="20" spans="1:9" x14ac:dyDescent="0.25">
      <c r="A20" s="6" t="s">
        <v>52</v>
      </c>
      <c r="B20" s="6" t="s">
        <v>37</v>
      </c>
      <c r="C20" s="6" t="s">
        <v>97</v>
      </c>
      <c r="D20" s="6">
        <f>COUNTIF(Location!B:B,"3")</f>
        <v>5</v>
      </c>
      <c r="F20" s="6" t="s">
        <v>145</v>
      </c>
      <c r="G20" s="6" t="str">
        <f>_xlfn.XLOOKUP(H20,Fish!C:C,Fish!B:B,"")</f>
        <v>Freshwater</v>
      </c>
      <c r="H20" s="6" t="s">
        <v>274</v>
      </c>
      <c r="I20" s="6">
        <f>COUNTIFS(Fish!C:C,H20,Fish!B:B,G20)</f>
        <v>1</v>
      </c>
    </row>
    <row r="21" spans="1:9" x14ac:dyDescent="0.25">
      <c r="F21" s="6" t="s">
        <v>145</v>
      </c>
      <c r="G21" s="6" t="str">
        <f>_xlfn.XLOOKUP(H21,Fish!C:C,Fish!B:B,"")</f>
        <v>Brackish</v>
      </c>
      <c r="H21" s="6" t="s">
        <v>265</v>
      </c>
      <c r="I21" s="6">
        <f>COUNTIFS(Fish!C:C,H21,Fish!B:B,G21)</f>
        <v>5</v>
      </c>
    </row>
    <row r="22" spans="1:9" x14ac:dyDescent="0.25">
      <c r="F22" s="6" t="s">
        <v>145</v>
      </c>
      <c r="G22" s="6" t="str">
        <f>_xlfn.XLOOKUP(H22,Fish!C:C,Fish!B:B,"")</f>
        <v>Brackish</v>
      </c>
      <c r="H22" s="6" t="s">
        <v>406</v>
      </c>
      <c r="I22" s="6">
        <f>COUNTIFS(Fish!C:C,H22,Fish!B:B,G22)</f>
        <v>1</v>
      </c>
    </row>
    <row r="23" spans="1:9" x14ac:dyDescent="0.25">
      <c r="F23" s="6" t="s">
        <v>145</v>
      </c>
      <c r="G23" s="6" t="str">
        <f>_xlfn.XLOOKUP(H23,Fish!C:C,Fish!B:B,"")</f>
        <v>Seawater</v>
      </c>
      <c r="H23" s="6" t="s">
        <v>299</v>
      </c>
      <c r="I23" s="6">
        <f>COUNTIFS(Fish!C:C,H23,Fish!B:B,G23)</f>
        <v>1</v>
      </c>
    </row>
    <row r="24" spans="1:9" x14ac:dyDescent="0.25">
      <c r="F24" s="6" t="s">
        <v>145</v>
      </c>
      <c r="G24" s="6" t="str">
        <f>_xlfn.XLOOKUP(H24,Fish!C:C,Fish!B:B,"")</f>
        <v>Brackish</v>
      </c>
      <c r="H24" s="6" t="s">
        <v>394</v>
      </c>
      <c r="I24" s="6">
        <f>COUNTIFS(Fish!C:C,H24,Fish!B:B,G24)</f>
        <v>1</v>
      </c>
    </row>
    <row r="25" spans="1:9" x14ac:dyDescent="0.25">
      <c r="F25" s="6" t="s">
        <v>145</v>
      </c>
      <c r="G25" s="6" t="str">
        <f>_xlfn.XLOOKUP(H25,Fish!C:C,Fish!B:B,"")</f>
        <v>Brackish</v>
      </c>
      <c r="H25" s="6" t="s">
        <v>271</v>
      </c>
      <c r="I25" s="6">
        <f>COUNTIFS(Fish!C:C,H25,Fish!B:B,G25)</f>
        <v>2</v>
      </c>
    </row>
    <row r="26" spans="1:9" x14ac:dyDescent="0.25">
      <c r="F26" s="6" t="s">
        <v>145</v>
      </c>
      <c r="G26" s="6" t="str">
        <f>_xlfn.XLOOKUP(H26,Fish!C:C,Fish!B:B,"")</f>
        <v>Brackish</v>
      </c>
      <c r="H26" s="6" t="s">
        <v>403</v>
      </c>
      <c r="I26" s="6">
        <f>COUNTIFS(Fish!C:C,H26,Fish!B:B,G26)</f>
        <v>1</v>
      </c>
    </row>
    <row r="27" spans="1:9" x14ac:dyDescent="0.25">
      <c r="F27" s="6" t="s">
        <v>145</v>
      </c>
      <c r="G27" s="6" t="str">
        <f>_xlfn.XLOOKUP(H27,Fish!C:C,Fish!B:B,"")</f>
        <v>Freshwater</v>
      </c>
      <c r="H27" s="6" t="s">
        <v>382</v>
      </c>
      <c r="I27" s="6">
        <f>COUNTIFS(Fish!C:C,H27,Fish!B:B,G27)</f>
        <v>5</v>
      </c>
    </row>
    <row r="28" spans="1:9" x14ac:dyDescent="0.25">
      <c r="F28" s="6" t="s">
        <v>145</v>
      </c>
      <c r="G28" s="6" t="str">
        <f>_xlfn.XLOOKUP(H28,Fish!C:C,Fish!B:B,"")</f>
        <v>Freshwater</v>
      </c>
      <c r="H28" s="6" t="s">
        <v>372</v>
      </c>
      <c r="I28" s="6">
        <f>COUNTIFS(Fish!C:C,H28,Fish!B:B,G28)</f>
        <v>4</v>
      </c>
    </row>
    <row r="29" spans="1:9" x14ac:dyDescent="0.25">
      <c r="F29" s="6" t="s">
        <v>145</v>
      </c>
      <c r="G29" s="6" t="str">
        <f>_xlfn.XLOOKUP(H29,Fish!C:C,Fish!B:B,"")</f>
        <v>Seawater</v>
      </c>
      <c r="H29" s="6" t="s">
        <v>294</v>
      </c>
      <c r="I29" s="6">
        <f>COUNTIFS(Fish!C:C,H29,Fish!B:B,G29)</f>
        <v>1</v>
      </c>
    </row>
    <row r="30" spans="1:9" x14ac:dyDescent="0.25">
      <c r="F30" s="6" t="s">
        <v>145</v>
      </c>
      <c r="G30" s="6" t="str">
        <f>_xlfn.XLOOKUP(H30,Fish!C:C,Fish!B:B,"")</f>
        <v>Seawater</v>
      </c>
      <c r="H30" s="6" t="s">
        <v>365</v>
      </c>
      <c r="I30" s="6">
        <f>COUNTIFS(Fish!C:C,H30,Fish!B:B,G30)</f>
        <v>1</v>
      </c>
    </row>
    <row r="31" spans="1:9" x14ac:dyDescent="0.25">
      <c r="F31" s="6" t="s">
        <v>145</v>
      </c>
      <c r="G31" s="6" t="str">
        <f>_xlfn.XLOOKUP(H31,Fish!C:C,Fish!B:B,"")</f>
        <v>Brackish</v>
      </c>
      <c r="H31" s="6" t="s">
        <v>397</v>
      </c>
      <c r="I31" s="6">
        <f>COUNTIFS(Fish!C:C,H31,Fish!B:B,G31)</f>
        <v>1</v>
      </c>
    </row>
    <row r="32" spans="1:9" x14ac:dyDescent="0.25">
      <c r="F32" s="6" t="s">
        <v>145</v>
      </c>
      <c r="G32" s="6" t="str">
        <f>_xlfn.XLOOKUP(H32,Fish!C:C,Fish!B:B,"")</f>
        <v>Freshwater</v>
      </c>
      <c r="H32" s="6" t="s">
        <v>169</v>
      </c>
      <c r="I32" s="6">
        <f>COUNTIFS(Fish!C:C,H32,Fish!B:B,G32)</f>
        <v>10</v>
      </c>
    </row>
    <row r="33" spans="6:9" x14ac:dyDescent="0.25">
      <c r="F33" s="6" t="s">
        <v>145</v>
      </c>
      <c r="G33" s="6" t="str">
        <f>_xlfn.XLOOKUP(H33,Fish!C:C,Fish!B:B,"")</f>
        <v>Freshwater</v>
      </c>
      <c r="H33" s="6" t="s">
        <v>23</v>
      </c>
      <c r="I33" s="6">
        <f>COUNTIFS(Fish!C:C,H33,Fish!B:B,G33)</f>
        <v>10</v>
      </c>
    </row>
    <row r="34" spans="6:9" x14ac:dyDescent="0.25">
      <c r="F34" s="6" t="s">
        <v>145</v>
      </c>
      <c r="G34" s="6" t="str">
        <f>_xlfn.XLOOKUP(H34,Fish!C:C,Fish!B:B,"")</f>
        <v>Seawater</v>
      </c>
      <c r="H34" s="6" t="s">
        <v>360</v>
      </c>
      <c r="I34" s="6">
        <f>COUNTIFS(Fish!C:C,H34,Fish!B:B,G34)</f>
        <v>4</v>
      </c>
    </row>
  </sheetData>
  <autoFilter ref="A1:N1" xr:uid="{30B1612E-A437-4A38-BD7B-1482265E1A30}"/>
  <sortState xmlns:xlrd2="http://schemas.microsoft.com/office/spreadsheetml/2017/richdata2" ref="F2:I35">
    <sortCondition ref="H2:H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Glossary</vt:lpstr>
      <vt:lpstr>Rarity</vt:lpstr>
      <vt:lpstr>Bait</vt:lpstr>
      <vt:lpstr>Rod</vt:lpstr>
      <vt:lpstr>Fish</vt:lpstr>
      <vt:lpstr>Fish Type</vt:lpstr>
      <vt:lpstr>Mutation</vt:lpstr>
      <vt:lpstr>Location</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 Indonesia</dc:creator>
  <cp:lastModifiedBy>Veron Indonesia</cp:lastModifiedBy>
  <dcterms:created xsi:type="dcterms:W3CDTF">2026-06-22T02:59:45Z</dcterms:created>
  <dcterms:modified xsi:type="dcterms:W3CDTF">2026-07-08T03:49:43Z</dcterms:modified>
</cp:coreProperties>
</file>