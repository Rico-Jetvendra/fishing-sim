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D:\Download\Document\"/>
    </mc:Choice>
  </mc:AlternateContent>
  <xr:revisionPtr revIDLastSave="0" documentId="13_ncr:1_{F52B1135-CAB8-44C9-A9F1-F6D586AD1A77}" xr6:coauthVersionLast="47" xr6:coauthVersionMax="47" xr10:uidLastSave="{00000000-0000-0000-0000-000000000000}"/>
  <bookViews>
    <workbookView xWindow="-108" yWindow="-108" windowWidth="23256" windowHeight="12456" activeTab="6" xr2:uid="{9977F37B-D2C6-4802-9F43-18753E2C43C3}"/>
  </bookViews>
  <sheets>
    <sheet name="Glossary" sheetId="4" r:id="rId1"/>
    <sheet name="Rarity" sheetId="6" r:id="rId2"/>
    <sheet name="Bait" sheetId="1" r:id="rId3"/>
    <sheet name="Rod" sheetId="7" r:id="rId4"/>
    <sheet name="Fish" sheetId="2" r:id="rId5"/>
    <sheet name="Mutation" sheetId="5" r:id="rId6"/>
    <sheet name="Location" sheetId="3" r:id="rId7"/>
    <sheet name="Total" sheetId="8" r:id="rId8"/>
  </sheets>
  <definedNames>
    <definedName name="_xlnm._FilterDatabase" localSheetId="2" hidden="1">Bait!$A$1:$D$1</definedName>
    <definedName name="_xlnm._FilterDatabase" localSheetId="4" hidden="1">Fish!$A$1:$M$102</definedName>
    <definedName name="_xlnm._FilterDatabase" localSheetId="6" hidden="1">Location!$A$1:$D$35</definedName>
    <definedName name="_xlnm._FilterDatabase" localSheetId="7" hidden="1">Total!$A$1:$N$1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8" l="1" a="1"/>
  <c r="D4" i="8" s="1"/>
  <c r="D3" i="8" a="1"/>
  <c r="D3" i="8" s="1"/>
  <c r="D2" i="8" a="1"/>
  <c r="D2" i="8" s="1"/>
  <c r="G11" i="8"/>
  <c r="I11" i="8" s="1"/>
  <c r="G14" i="8"/>
  <c r="I14" i="8" s="1"/>
  <c r="G12" i="8"/>
  <c r="I12" i="8" s="1"/>
  <c r="G15" i="8"/>
  <c r="I15" i="8" s="1"/>
  <c r="G18" i="8"/>
  <c r="I18" i="8" s="1"/>
  <c r="G19" i="8"/>
  <c r="I19" i="8" s="1"/>
  <c r="G32" i="8"/>
  <c r="I32" i="8" s="1"/>
  <c r="I29" i="8"/>
  <c r="G24" i="8"/>
  <c r="I24" i="8" s="1"/>
  <c r="G34" i="8"/>
  <c r="I34" i="8" s="1"/>
  <c r="G9" i="8"/>
  <c r="I9" i="8" s="1"/>
  <c r="G8" i="8"/>
  <c r="I8" i="8" s="1"/>
  <c r="G30" i="8"/>
  <c r="I30" i="8" s="1"/>
  <c r="I3" i="8"/>
  <c r="I5" i="8"/>
  <c r="I27" i="8"/>
  <c r="I26" i="8"/>
  <c r="G2" i="8"/>
  <c r="I2" i="8" s="1"/>
  <c r="G23" i="8"/>
  <c r="I23" i="8" s="1"/>
  <c r="G25" i="8"/>
  <c r="I25" i="8" s="1"/>
  <c r="G4" i="8"/>
  <c r="I4" i="8" s="1"/>
  <c r="G16" i="8"/>
  <c r="I16" i="8" s="1"/>
  <c r="G6" i="8"/>
  <c r="I6" i="8" s="1"/>
  <c r="G7" i="8"/>
  <c r="I7" i="8" s="1"/>
  <c r="G28" i="8"/>
  <c r="I28" i="8" s="1"/>
  <c r="G17" i="8"/>
  <c r="I17" i="8" s="1"/>
  <c r="G10" i="8"/>
  <c r="I10" i="8" s="1"/>
  <c r="G13" i="8"/>
  <c r="I13" i="8" s="1"/>
  <c r="G31" i="8"/>
  <c r="I31" i="8" s="1"/>
  <c r="G20" i="8"/>
  <c r="I20" i="8" s="1"/>
  <c r="G33" i="8"/>
  <c r="I33" i="8" s="1"/>
  <c r="G21" i="8"/>
  <c r="I21" i="8" s="1"/>
  <c r="G22" i="8"/>
  <c r="I22" i="8" s="1"/>
  <c r="N6" i="8"/>
  <c r="N5" i="8"/>
  <c r="N4" i="8"/>
  <c r="N2" i="8"/>
  <c r="N3" i="8"/>
  <c r="D6" i="8"/>
  <c r="D8" i="8"/>
  <c r="D7" i="8"/>
  <c r="D9" i="8"/>
  <c r="D10" i="8"/>
  <c r="D5" i="8"/>
  <c r="D20" i="8"/>
  <c r="D18" i="8"/>
  <c r="D19" i="8"/>
  <c r="D17" i="8"/>
  <c r="D15" i="8"/>
  <c r="D16" i="8"/>
  <c r="D14" i="8"/>
  <c r="D13" i="8"/>
  <c r="D11" i="8"/>
  <c r="D1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<sst xmlns="http://schemas.openxmlformats.org/spreadsheetml/2006/main" count="1407" uniqueCount="609">
  <si>
    <t>Name</t>
  </si>
  <si>
    <t>Description</t>
  </si>
  <si>
    <t>Type</t>
  </si>
  <si>
    <t>Bread</t>
  </si>
  <si>
    <t>Worm</t>
  </si>
  <si>
    <t>Dough</t>
  </si>
  <si>
    <t>Minnow</t>
  </si>
  <si>
    <t>Rarity</t>
  </si>
  <si>
    <t>Base Weight</t>
  </si>
  <si>
    <t>Min Weight</t>
  </si>
  <si>
    <t>Max Weight</t>
  </si>
  <si>
    <t>Min Length</t>
  </si>
  <si>
    <t>Max Length</t>
  </si>
  <si>
    <t>Common Carp</t>
  </si>
  <si>
    <t>Carp</t>
  </si>
  <si>
    <t>Common</t>
  </si>
  <si>
    <t>Silver Carp</t>
  </si>
  <si>
    <t>Uncommon</t>
  </si>
  <si>
    <t>A common carp is a widespread freshwater fish that can be found on almost every freshwater habitat.</t>
  </si>
  <si>
    <t>Mrigal Carp</t>
  </si>
  <si>
    <t>Rare</t>
  </si>
  <si>
    <t>This fish live in a lower water level and feeds on small insects and decomposed organic element.</t>
  </si>
  <si>
    <t>Brook Trout</t>
  </si>
  <si>
    <t>Trout</t>
  </si>
  <si>
    <t>6.5</t>
  </si>
  <si>
    <t>Brook trout also called Speckled trout has a green olive body with a yellow spot all over its body.</t>
  </si>
  <si>
    <t>Rainbow Trout</t>
  </si>
  <si>
    <t>0.5</t>
  </si>
  <si>
    <t>1.5</t>
  </si>
  <si>
    <t>Fish with a silvery body, and purple, pink and bluish streak down its flank</t>
  </si>
  <si>
    <t>Aurora Trout</t>
  </si>
  <si>
    <t>Aurora trout can be differentiated by its coloration, grading from magenta hue to nearly orange along the belly.</t>
  </si>
  <si>
    <t>1.1</t>
  </si>
  <si>
    <t>Common Bream</t>
  </si>
  <si>
    <t>Bream</t>
  </si>
  <si>
    <t>Common bream have a black fins and silver color in young bream that turn bronze when its got older</t>
  </si>
  <si>
    <t>Bluegill</t>
  </si>
  <si>
    <t>Water</t>
  </si>
  <si>
    <t>This insect lover usually hide near a cover and ambush their prey.</t>
  </si>
  <si>
    <t>Freshwater</t>
  </si>
  <si>
    <t>Astrafterí Lake</t>
  </si>
  <si>
    <t>Prasinos Creek</t>
  </si>
  <si>
    <t>Vasikos Pond</t>
  </si>
  <si>
    <t>Telma Swamp</t>
  </si>
  <si>
    <t>Theikos Spring</t>
  </si>
  <si>
    <t>Kaca Lake</t>
  </si>
  <si>
    <t>Purba Mangrove</t>
  </si>
  <si>
    <t>It is said that there was once a thriving civilization located in this mangrove forest.</t>
  </si>
  <si>
    <t>Seribu Arus River</t>
  </si>
  <si>
    <t>An infamous river that has an unpredictable current that shifts without warning. The home of many exotic fish can only be found here.</t>
  </si>
  <si>
    <t>Iremia River</t>
  </si>
  <si>
    <t>Mentari Pond</t>
  </si>
  <si>
    <t>Location</t>
  </si>
  <si>
    <t>Season</t>
  </si>
  <si>
    <t>Ourea, Seran</t>
  </si>
  <si>
    <t>Ourea</t>
  </si>
  <si>
    <t>Spring, Autumn</t>
  </si>
  <si>
    <t>Spring</t>
  </si>
  <si>
    <t>Autumn</t>
  </si>
  <si>
    <t>Spring, Summer, Autumn</t>
  </si>
  <si>
    <t>Summer</t>
  </si>
  <si>
    <t>Spring, Summer</t>
  </si>
  <si>
    <t>Spring, Autumn, Winter</t>
  </si>
  <si>
    <t>Summer, Autumn</t>
  </si>
  <si>
    <t>All</t>
  </si>
  <si>
    <t>Seroja Marsh</t>
  </si>
  <si>
    <t>Pond</t>
  </si>
  <si>
    <t>Lake</t>
  </si>
  <si>
    <t>Reservoir</t>
  </si>
  <si>
    <t>River</t>
  </si>
  <si>
    <t>Stream</t>
  </si>
  <si>
    <t>Creek</t>
  </si>
  <si>
    <t>Brook</t>
  </si>
  <si>
    <t>Canal</t>
  </si>
  <si>
    <t>Ditch</t>
  </si>
  <si>
    <t>Wetland</t>
  </si>
  <si>
    <t>Marsh</t>
  </si>
  <si>
    <t>Swamp</t>
  </si>
  <si>
    <t>Oxbow Lake</t>
  </si>
  <si>
    <t>Brackish Water (mix of fresh and salt water)</t>
  </si>
  <si>
    <t>Estuary</t>
  </si>
  <si>
    <t>Delta</t>
  </si>
  <si>
    <t>Lagoon</t>
  </si>
  <si>
    <t>Mangrove</t>
  </si>
  <si>
    <t>Tidal Creek</t>
  </si>
  <si>
    <t>Tidal River</t>
  </si>
  <si>
    <t>Saltwater</t>
  </si>
  <si>
    <t>Ocean</t>
  </si>
  <si>
    <t>Sea</t>
  </si>
  <si>
    <t>Bay</t>
  </si>
  <si>
    <t>Gulf</t>
  </si>
  <si>
    <t>Sound</t>
  </si>
  <si>
    <t>Cove</t>
  </si>
  <si>
    <t>Inlet</t>
  </si>
  <si>
    <t>Harbor</t>
  </si>
  <si>
    <t>Fjord</t>
  </si>
  <si>
    <t>A sprawling marshland renowned for its field of lotus covering the entire surface of water.</t>
  </si>
  <si>
    <t>Tanjung Seran Harbor</t>
  </si>
  <si>
    <t>Seawater</t>
  </si>
  <si>
    <t>The busiest harbor in Seran, where all the sea commodities are transported and distributed.</t>
  </si>
  <si>
    <t>Batu Kawah Lake</t>
  </si>
  <si>
    <t>A long river stretches across Ourea and Seran, with plenty of fish to catch. The Seranese called this river Bengawan.</t>
  </si>
  <si>
    <t>This lake forms from the erupted volcano near the town and is now home to many fish.</t>
  </si>
  <si>
    <t>Seroja Darah Swamp</t>
  </si>
  <si>
    <t>City</t>
  </si>
  <si>
    <t>Seran</t>
  </si>
  <si>
    <t>A lot of traders travelled to this place to take the water believed to be blessed by the Primordial Mountains God himself.</t>
  </si>
  <si>
    <t>Villagers near the lake claim that Naiads prevent the lake from drying even in the harshest summer time.</t>
  </si>
  <si>
    <t>Evrys River</t>
  </si>
  <si>
    <t>Some villagers believe this river is the gateway to Styx and occasionally give offerings to the river gods.</t>
  </si>
  <si>
    <t>A small stream that runs along the Psila Hill, where the locals believe is the home of water fairies.</t>
  </si>
  <si>
    <t>A small pond that has an abundance of fish, said to be blessed by Poseidon himself.</t>
  </si>
  <si>
    <t>The legend tells the story of a general who came to this swamp to slay a hydra and never came back.</t>
  </si>
  <si>
    <t>A pond inside Mentari Village is said to belong to an old general long before Mentari village establish.</t>
  </si>
  <si>
    <t>Swamp water inside Seroja Marshes, home of many predatory fish and terrifying Teras, where blood lotus said to come from</t>
  </si>
  <si>
    <t>Kaca Lake earned its name from its crystal clear water that makes the surface appear like glass. Local legend claims that on a full moon, you can gaze upon it and see your future self.</t>
  </si>
  <si>
    <t>Saint Luke Pond</t>
  </si>
  <si>
    <t>The pond that belongs to the church, the first fish that get capture by the fisherman has to be donated to the church.</t>
  </si>
  <si>
    <t>Rosegleam</t>
  </si>
  <si>
    <t>Wisp Swamp</t>
  </si>
  <si>
    <t>Sofia River</t>
  </si>
  <si>
    <t>The late Prince Kaiden is said to have drowned in this lake at a young age, and his father, King Simon turn the lake into a reservoir.</t>
  </si>
  <si>
    <t>Prince Kaiden Reservoir</t>
  </si>
  <si>
    <t>Named after the old Queen, who legend said was blessed by the god, and the mother of the first king of Rosegleam.</t>
  </si>
  <si>
    <t>Becket Cross Canal</t>
  </si>
  <si>
    <t>A man-made canal that connects to the Prince Kaiden Reservoir to maintain water for the city. Fishing is strictly prohibited without permit</t>
  </si>
  <si>
    <t>Countless reports tell a story of a will-o'-the-wisp appearing at night, trying to lure a fisherman to the depths of the swamp, where some people claim it was a den of mages.</t>
  </si>
  <si>
    <t>Merman Marsh</t>
  </si>
  <si>
    <t>Gröfgarðr Shore</t>
  </si>
  <si>
    <t>Tidehaven</t>
  </si>
  <si>
    <t>Powerful waves carry the shipwreck of a sailor unfortunate enough to be caught in Rán net.</t>
  </si>
  <si>
    <t>Sjókona Beach</t>
  </si>
  <si>
    <t xml:space="preserve">Sailor tells the tale of a women who is singing at the rock of Sjókona Beach to her lover, who abandons her in search of riches. </t>
  </si>
  <si>
    <t>Mikill Hvítar Lake</t>
  </si>
  <si>
    <t>Ægir Fjord</t>
  </si>
  <si>
    <t>Ormr River</t>
  </si>
  <si>
    <t>At the dead of the night, fishermen can hear an enchanting music coming from the lake, luring them to swim deep into the water.</t>
  </si>
  <si>
    <t>Old tales tell that the fjord was carved when Ægir struck down a great Draugr with a single blow.</t>
  </si>
  <si>
    <t>Freyja River</t>
  </si>
  <si>
    <t>Jötunn Cave</t>
  </si>
  <si>
    <t>Harma Ocean</t>
  </si>
  <si>
    <t>The tales of a grieving father surrounding this part of the ocean, sailors claim the father souls are still wandering the ocean, trying to find his son body.</t>
  </si>
  <si>
    <t>Reyr Marsh</t>
  </si>
  <si>
    <t>During a foggy night, fishermen reported movement along the tall reed, but they never saw anything after that.</t>
  </si>
  <si>
    <t>Yrviðr Swamp</t>
  </si>
  <si>
    <t>The skalds tell an ancient tale of Ymir, the ancestor of all the giants. Some claim that the cave reaches deep into the roots of the World Tree.</t>
  </si>
  <si>
    <t>Fish</t>
  </si>
  <si>
    <t>Grass Carp</t>
  </si>
  <si>
    <t>Grass Carp eggs require a long river to survive, and the eggs will be considered dead when they hit the bottom of the river.</t>
  </si>
  <si>
    <t>Black Carp</t>
  </si>
  <si>
    <t>Black Carp are an elongated fish with a fusiform body. They have a dusky gray, brown, or even bluish black color on their body.</t>
  </si>
  <si>
    <t>Bighead Carp</t>
  </si>
  <si>
    <t>The Bighead Carp has a large, scaleless head, a large mouth, and eyes that located very low on their head.</t>
  </si>
  <si>
    <t>Mud Carp</t>
  </si>
  <si>
    <t>Mud Carp is considered to be inedible the first time people caught it, but after the great incident, this fish became popular.</t>
  </si>
  <si>
    <t>This carp usually lives in a large pond or lake, but seasonally find its way into the canal, reservoir and flooded forest.</t>
  </si>
  <si>
    <t>Gibel Carp</t>
  </si>
  <si>
    <t>Gibel Carp reproduce and spread so rapidly that it is said that it can fill an entire medium-sized pond in its species alone.</t>
  </si>
  <si>
    <t>Crucian Carp</t>
  </si>
  <si>
    <t>This fish mainly lived in nutrient-rich water, but it can also lived in an extreme condition and harsh winter.</t>
  </si>
  <si>
    <t>Autumn, Winter</t>
  </si>
  <si>
    <t>Cutthroat Trout</t>
  </si>
  <si>
    <t>Its neck has a bright red coloration, which makes it look like a slash wound; that's why it was called a Cutthroat Trout.</t>
  </si>
  <si>
    <t>Golden Trout</t>
  </si>
  <si>
    <t>Marbled Trout</t>
  </si>
  <si>
    <t>Tidehaven, Rosegleam</t>
  </si>
  <si>
    <t>Every first Golden Trout that is caught that day needs to be given to the royal family.</t>
  </si>
  <si>
    <t xml:space="preserve">The marble trout has a long, cylindrical body, slightly compressed laterally, with a large head. </t>
  </si>
  <si>
    <t>Lake Trout</t>
  </si>
  <si>
    <t>Seran, Rosegleam</t>
  </si>
  <si>
    <t>Lake trout covered in light beige or white spots all over its olive-grey body.</t>
  </si>
  <si>
    <t>Sunfish</t>
  </si>
  <si>
    <t>White Bream</t>
  </si>
  <si>
    <t>White Bream / Silver Bream generally inhabit the lower reaches of rivers as well as lakes and ponds with muddy bottoms and plenty of algae to feed on.</t>
  </si>
  <si>
    <t>Black Bream</t>
  </si>
  <si>
    <t>Rosegleam, Tidehaven</t>
  </si>
  <si>
    <t>4.5</t>
  </si>
  <si>
    <t>0.25</t>
  </si>
  <si>
    <t>0.75</t>
  </si>
  <si>
    <t>Ourea, Rosegleam</t>
  </si>
  <si>
    <t>A dark bronze estuarine bream with a deep body, known for its adaptability and strong fighting ability despite its modest size.</t>
  </si>
  <si>
    <t>A sleek silver bream with bright yellow fins, thriving in estuaries and coastal waters while feeding on small bottom-dwelling prey.</t>
  </si>
  <si>
    <t>Tarwhine Bream</t>
  </si>
  <si>
    <t>Two-bar Bream</t>
  </si>
  <si>
    <t>Brackish</t>
  </si>
  <si>
    <t>Seran, Tidehaven</t>
  </si>
  <si>
    <t>Two-bar Bream has an oval-shaped, deep, compressed body with a moderately fleshy-lipped, slightly protrusible mouth.</t>
  </si>
  <si>
    <t>Blue Bream</t>
  </si>
  <si>
    <t>A sleek silver-blue fish that travels in large schools through deep rivers and lakes, feeding on drifting insects and tiny aquatic prey.</t>
  </si>
  <si>
    <t>Vimba Bream</t>
  </si>
  <si>
    <t>This fish is a deep bluish-green on the dorsal surface, and silvery along the flanks. The eyes are yellow, and the pectoral and pelvic fins have reddish-yellow bases.</t>
  </si>
  <si>
    <t>Red Seabream</t>
  </si>
  <si>
    <t>The body is oblong and laterally flattened, with the jaws protruding slightly forward. The pectoral fins are long and slender, reaching nearly half of the total length.</t>
  </si>
  <si>
    <t>Gilthead Sea Bream</t>
  </si>
  <si>
    <t>The gilt-head bream has a deep body, with a large, deep head which has its relatively small eyes placed high on the head. The diameter of the eyes is shorter than the length of the snout.</t>
  </si>
  <si>
    <t>Zebra Seabream</t>
  </si>
  <si>
    <t>1.25</t>
  </si>
  <si>
    <t>This fish has an oval shaped body which is deep and compressed with a moderately sharp snout and a thick lipped slightly protrusible mouth.</t>
  </si>
  <si>
    <t>Pumpkinseed</t>
  </si>
  <si>
    <t>0.4</t>
  </si>
  <si>
    <t>Pumpkinseeds have a body shaped much like a pumpkin seed with a vibrant orange, green, yellow, or blue body.</t>
  </si>
  <si>
    <t>Redear Sunfish</t>
  </si>
  <si>
    <t>0.2</t>
  </si>
  <si>
    <t>Also widely known as the shellcracker, this fish's main diet is snails. These fish meander along lakebeds, seeking and cracking open snails and other shelled creatures.</t>
  </si>
  <si>
    <t>Green Sunfish</t>
  </si>
  <si>
    <t>0.9</t>
  </si>
  <si>
    <t>Ourea, Tidehaven</t>
  </si>
  <si>
    <t>This fish is highly territorial and aggressive, local fishermen refered to its as a bullies of the water.</t>
  </si>
  <si>
    <t>Warmouth</t>
  </si>
  <si>
    <t>0.3</t>
  </si>
  <si>
    <t>The Warmouth is an aggressive and hardy fish that can survive in streams with low oxygen level.</t>
  </si>
  <si>
    <t>Redbreast Sunfish</t>
  </si>
  <si>
    <t>0.8</t>
  </si>
  <si>
    <t>Spring, Winter</t>
  </si>
  <si>
    <t>This fish becomes more aggressive when winter comes and striking almost anything that moving near them.</t>
  </si>
  <si>
    <t>Longear Sunfish</t>
  </si>
  <si>
    <t>Unlike any other sunfish, this fish feeds more near the surface of the water targeting insects, crustaceans and even young sunfish.</t>
  </si>
  <si>
    <t>Orangespotted Sunfish</t>
  </si>
  <si>
    <t>0.1</t>
  </si>
  <si>
    <t>0.6</t>
  </si>
  <si>
    <t>This fish prefers vegetated areas in sluggish backwaters or lakes, and can also be found in turbid rivers.</t>
  </si>
  <si>
    <t>Roundel Sunfish</t>
  </si>
  <si>
    <t>Its deep, rounded body is said to resemble the ancient roundel coins once traded across the continent before the dragons era.</t>
  </si>
  <si>
    <t>Pocket Sunfish</t>
  </si>
  <si>
    <t>A tiny fish that can fit into a fisherman's pocket, it has ten vertical stripes visible along its dark body.</t>
  </si>
  <si>
    <t>Channel Catfish</t>
  </si>
  <si>
    <t>Catfish</t>
  </si>
  <si>
    <t xml:space="preserve">This cafish can be found all over Endral's river and stream. </t>
  </si>
  <si>
    <t>Blue Catfish</t>
  </si>
  <si>
    <t>C</t>
  </si>
  <si>
    <t>Initial</t>
  </si>
  <si>
    <t>Weight Range</t>
  </si>
  <si>
    <t>Base Bite</t>
  </si>
  <si>
    <t>Base Escape</t>
  </si>
  <si>
    <t>Base Mutation</t>
  </si>
  <si>
    <t>UC</t>
  </si>
  <si>
    <t>R</t>
  </si>
  <si>
    <t>L</t>
  </si>
  <si>
    <t>M</t>
  </si>
  <si>
    <t>E</t>
  </si>
  <si>
    <t>Legendary</t>
  </si>
  <si>
    <t>Mythical</t>
  </si>
  <si>
    <t>Event</t>
  </si>
  <si>
    <t>1-1000</t>
  </si>
  <si>
    <t>Blue Catfish are often misidentified as Channel Catfish, the difference are the heavy bodied, blueish gray in color, and a dorsal hump.</t>
  </si>
  <si>
    <t>Flathead Catfish</t>
  </si>
  <si>
    <t>8.5</t>
  </si>
  <si>
    <t>Walking Catfish</t>
  </si>
  <si>
    <t>7.2</t>
  </si>
  <si>
    <t>Dry</t>
  </si>
  <si>
    <t>Monsoon</t>
  </si>
  <si>
    <t>When the river dried out, this fish would "walk" around the river in wiggling motion to traverse the land.</t>
  </si>
  <si>
    <t>Dry, Monsoon</t>
  </si>
  <si>
    <t>Bengawan Giant Catfish</t>
  </si>
  <si>
    <t>Spring, Monsoon</t>
  </si>
  <si>
    <t>In Ourea, they call this fish Iremia Giant Catfish. Known for its enormous size, its main diet is algae and aquatic vegetation.</t>
  </si>
  <si>
    <t>Redtail Catfish</t>
  </si>
  <si>
    <t>An ambush predator lurking beneath logs and rocks until unsuspecting prey fish get close.</t>
  </si>
  <si>
    <t>These colorful large catfishes have a brownish back, with yellow sides, and characteristic orange-red dorsal fin and caudal fin</t>
  </si>
  <si>
    <t>Hardhead Catfish</t>
  </si>
  <si>
    <t>Dry, Autumn</t>
  </si>
  <si>
    <t>0.45</t>
  </si>
  <si>
    <t>Hardhead catfish are generally regarded as an undesirable catch because of the risk associated with handling the venomous fish.</t>
  </si>
  <si>
    <t>Gafftopsail Catfish</t>
  </si>
  <si>
    <t>1.2</t>
  </si>
  <si>
    <t>The gafftopsail catfish is blue-grey to dark brown with a light grey belly. Its appearance is typical for a catfish except for the deeply forked tail and the venomous, serrated spines.</t>
  </si>
  <si>
    <t>Winter</t>
  </si>
  <si>
    <t>Swordhilt Sea Catfish</t>
  </si>
  <si>
    <t>A coastal catfish is recognized by the distinctive arrangement of bones beneath its head, forming a hilt of a sword structure.</t>
  </si>
  <si>
    <t>Monsoon, Winter</t>
  </si>
  <si>
    <t>Silverwhisker Sea Catfish</t>
  </si>
  <si>
    <t xml:space="preserve">A medium-sized coastal catfish with a silvery-gray body, long sensitive barbels, and sharp defensive spines. </t>
  </si>
  <si>
    <t>Giant Mudskipper</t>
  </si>
  <si>
    <t>Goby</t>
  </si>
  <si>
    <t>28.5</t>
  </si>
  <si>
    <t>A giant amphibious goby that prowls muddy shores and mangrove forests, skillfully walking on land and leaping between tidal pools in search of prey</t>
  </si>
  <si>
    <t>Archer</t>
  </si>
  <si>
    <t>Summer, Dry</t>
  </si>
  <si>
    <t>Known for its extraordinary marksmanship, the archerfish can accurately spit streams of water several body lengths to dislodge unsuspecting prey.</t>
  </si>
  <si>
    <t>Moony</t>
  </si>
  <si>
    <t>Tidehaven Moony</t>
  </si>
  <si>
    <t>Alligator Gar</t>
  </si>
  <si>
    <t>Gar</t>
  </si>
  <si>
    <t>The body of an alligator gar is torpedo-shaped, usually brown or olive colored, and occasionally black, fading to a lighter gray or yellow ventral surface.</t>
  </si>
  <si>
    <t>Silver Moony</t>
  </si>
  <si>
    <t>This fish has a bright, shiny silver color with yellowish edges to the fins, and the dorsal and anal fins have black tips.</t>
  </si>
  <si>
    <t>Knight Goby</t>
  </si>
  <si>
    <t>This goby has a speckled pattern and an armored look reminiscent of a chainmal worn by a knight.</t>
  </si>
  <si>
    <t>Dragon Goby</t>
  </si>
  <si>
    <t>Dragon Goby is said to be a baby water dragon in its infancy. This fish has a long, slender, eel-like body.</t>
  </si>
  <si>
    <t>Green Chromide</t>
  </si>
  <si>
    <t>Cichlid</t>
  </si>
  <si>
    <t>7.5</t>
  </si>
  <si>
    <t>It eats mainly aquatic plants, including filamentous algae and diatoms, but it consumes the occasional mollusk and other animal matter.</t>
  </si>
  <si>
    <t>Orange Chromide</t>
  </si>
  <si>
    <t>A vivid orange cichlid that thrives in brackish lagoons and estuaries, where it grazes on algae and hunts tiny aquatic creatures among submerged vegetation.</t>
  </si>
  <si>
    <t>Anemone</t>
  </si>
  <si>
    <t>Common Clownfish</t>
  </si>
  <si>
    <t>Summer, Winter</t>
  </si>
  <si>
    <t>The Common Clownfish has a stocky appearance and oval shape. It is compressed laterally, with a round profile.</t>
  </si>
  <si>
    <t>Grey Triggerfish</t>
  </si>
  <si>
    <t>Triggerfish</t>
  </si>
  <si>
    <t>2.5</t>
  </si>
  <si>
    <t>The small beak-like mouth at the tip of the snout has fleshy lips. The eyes are set far back near the top of the head.</t>
  </si>
  <si>
    <t>Common Lionfish</t>
  </si>
  <si>
    <t>Scorpionfish</t>
  </si>
  <si>
    <t>1.3</t>
  </si>
  <si>
    <t>The fin spines are highly venomous and have caused death to humans in some reported cases. Despite this, a sting from this species is rarely fatal to humans.</t>
  </si>
  <si>
    <t>Dolphinfish</t>
  </si>
  <si>
    <t>King Mackerel</t>
  </si>
  <si>
    <t>Mackerel</t>
  </si>
  <si>
    <t>A swift ocean predator renowned for its speed and powerful runs. It patrols coastal waters in search of baitfish, making it a prized catch for fisherman.</t>
  </si>
  <si>
    <t>Common Dolphinfish</t>
  </si>
  <si>
    <t> Mature males have distinctive "foreheads"; it grows as the fish matures and often protrudes well above the body proper, which is streamlined by the musculature of the back</t>
  </si>
  <si>
    <t>Great Barracuda</t>
  </si>
  <si>
    <t>Barracuda</t>
  </si>
  <si>
    <t>They are voracious predators and hunt by ambush. They rely on surprise and short bursts of speed to overrun their prey, sacrificing maneuverability.</t>
  </si>
  <si>
    <t>Swordfish</t>
  </si>
  <si>
    <t>Billfish</t>
  </si>
  <si>
    <t>Swordfish can swim extremely fast; it is said that Swordfish will jumped out of the water and then attack the fishermen when threatened.</t>
  </si>
  <si>
    <t>A fast-growing filter feeder that cruises open freshwater, consuming microscopic plankton and occasionally leaping high above the surface when startled.</t>
  </si>
  <si>
    <t>Total</t>
  </si>
  <si>
    <t>Bait</t>
  </si>
  <si>
    <t>Rod</t>
  </si>
  <si>
    <t>1-10</t>
  </si>
  <si>
    <t>11-50</t>
  </si>
  <si>
    <t>51-200</t>
  </si>
  <si>
    <t>201-450</t>
  </si>
  <si>
    <t>451-1000</t>
  </si>
  <si>
    <t>Sailors around Tidehaven convinced Yew Tree to grow deep inside the swamp, but, because of the high concentration of mana there, it became the home of Teras.</t>
  </si>
  <si>
    <t>Local legend once claims a merman drowned a fisherman in the marsh. Others dismiss the tale, believing the sightings were caused by the soldiers secretly disposing of mages corpses.</t>
  </si>
  <si>
    <t>Count</t>
  </si>
  <si>
    <t>Value</t>
  </si>
  <si>
    <t>Prasinos Cutthroat Trout</t>
  </si>
  <si>
    <t>This trout only live on the creek. Prasinos have a purple coloration and have some black spot along their body</t>
  </si>
  <si>
    <t>Giant River Carp</t>
  </si>
  <si>
    <t>Hvitar Trout</t>
  </si>
  <si>
    <t>Yakad Trout</t>
  </si>
  <si>
    <t>Yakad Trout can be identified by its distinctive yellowish-gold color, with a golden belly. The top of its head and back are a dark olive color.</t>
  </si>
  <si>
    <t>Hvitar Trout have a yellow body, and their upper body covered with a numerous small dark spot</t>
  </si>
  <si>
    <t>A silvery schooling fish with a diamond-shaped body and striking black markings native to Tidehaven water.</t>
  </si>
  <si>
    <t>Mutation</t>
  </si>
  <si>
    <t>Northern Archerfish</t>
  </si>
  <si>
    <t>The largest of the archerfish, sporting a deeper body and irregular dark markings. Its powerful water jets and impressive size make it a formidable hunter of mangrove shores.</t>
  </si>
  <si>
    <t>Banded Archerfish</t>
  </si>
  <si>
    <t>Bumblebee Goby</t>
  </si>
  <si>
    <t>Seran, Rosegleam, Tidehaven</t>
  </si>
  <si>
    <t>A miniature goby known for its bold yellow-and-black stripes. Despite its small size, it is an active predator that patrols muddy bottoms and dense vegetation in search of tiny prey.</t>
  </si>
  <si>
    <t>Marble Goby</t>
  </si>
  <si>
    <t>It is a highly popular fish among rich families, said to be best eaten after a childbirth or Chirurgy.</t>
  </si>
  <si>
    <t>Blue Tilapia</t>
  </si>
  <si>
    <t>It grazes on algae and aquatic vegetation while readily adapting to new habitats, making it both abundant and highly resilient.</t>
  </si>
  <si>
    <t>Black Tilapia</t>
  </si>
  <si>
    <t>3.2</t>
  </si>
  <si>
    <t>0.7</t>
  </si>
  <si>
    <t>The most common tilapia in Endral, it has a long dorsal fins, the front part of which have spines.</t>
  </si>
  <si>
    <t>Summer,  Monsoon</t>
  </si>
  <si>
    <t>Hogchoker</t>
  </si>
  <si>
    <t>Flatfish</t>
  </si>
  <si>
    <t>Dry, Summer, Autumn</t>
  </si>
  <si>
    <t>The overall body of this fish color is often broken by a series of spots and thin stripes, which can be lighter or darker than the main body color.</t>
  </si>
  <si>
    <t>Four-eyed Fish</t>
  </si>
  <si>
    <t>Four Eyed</t>
  </si>
  <si>
    <t>Four-eyed fish have only two eyes, but the eyes are specially adapted for their surface-dwelling lifestyle.</t>
  </si>
  <si>
    <t>Needlefish</t>
  </si>
  <si>
    <t>Needlefish are slender and have a single dorsal fin. Their most distinctive feature is their long, narrow beak, which bears multiple sharp teeth.</t>
  </si>
  <si>
    <t>Striped Bass</t>
  </si>
  <si>
    <t>Bass</t>
  </si>
  <si>
    <t>Spring, Autumn, Monsoon</t>
  </si>
  <si>
    <t>The Striped Bass has a streamlined, silvery body marked with longitudinal dark stripes running from behind the gills to the base of the tail.</t>
  </si>
  <si>
    <t>Summer Flounder</t>
  </si>
  <si>
    <t>This fish is called the chameleon of the sea because their ability to change color to blend in with their surrounding.</t>
  </si>
  <si>
    <t>Bluefin Tuna</t>
  </si>
  <si>
    <t>Tuna</t>
  </si>
  <si>
    <t>Their color is dark blue above and gray below, with a gold coruscation covering the body and bright yellow caudal finlets.</t>
  </si>
  <si>
    <t>Yellowfin Tuna</t>
  </si>
  <si>
    <t>Their body shape is particularly adapted for speed, enabling them to pursue and capture fast-moving baitfish, such as flying fish, sauries, and mackerel.</t>
  </si>
  <si>
    <t>Spiny Dogfish</t>
  </si>
  <si>
    <t>Shark</t>
  </si>
  <si>
    <t>Monsoon, Summer</t>
  </si>
  <si>
    <t>Spiny Dogfish is distinguished by two spines (one anterior to each dorsal fin) and no anal fin. It lives in shallow waters and further offshore in most parts of the world, especially in temperate waters.</t>
  </si>
  <si>
    <t>Sailfish</t>
  </si>
  <si>
    <t>Old sailors claim that they see Sailfish change colors when they get catch. Some people even said that was Sailfish way to communicate between them.</t>
  </si>
  <si>
    <t>Black Marlin</t>
  </si>
  <si>
    <t>One of the fastest fish known to sailors, this fish is said to be fast enough to leave a hole in a ship by swimming through it.</t>
  </si>
  <si>
    <t>Northern Pike</t>
  </si>
  <si>
    <t>Pike</t>
  </si>
  <si>
    <t>Northern pike are most often olive green, shading from yellow to white along the belly. The flank is marked with short, light bar-like spots and a few to many dark spots on the fins.</t>
  </si>
  <si>
    <t>Southern Pike</t>
  </si>
  <si>
    <t>Summer, Monsoon</t>
  </si>
  <si>
    <t>The chain pickerel has a distinctive, dark, chain-like pattern on its greenish sides. There is a vertical dark marking underneath the eye</t>
  </si>
  <si>
    <t>Muskie</t>
  </si>
  <si>
    <t>Muskies are the top predator in any body of water where they occur, and they will eat larger prey than most other freshwater fish.</t>
  </si>
  <si>
    <t>Redfin Pickerel</t>
  </si>
  <si>
    <t>Summer, Autumn, Dry</t>
  </si>
  <si>
    <t>The redfin pickerel is an ambush predator, lying in wait for unsuspecting prey animals to get within striking range.</t>
  </si>
  <si>
    <t>Walleye</t>
  </si>
  <si>
    <t>Perch</t>
  </si>
  <si>
    <t>Walleyes are largely olive and gold in color. The dorsal side of a walleye is olive, grading into a golden hue on the flanks.</t>
  </si>
  <si>
    <t>12.5</t>
  </si>
  <si>
    <t>Sauger</t>
  </si>
  <si>
    <t>10.5</t>
  </si>
  <si>
    <t>Saugers generally move upstream to spawn during Autumn, depending on where they are. They move downstream to their home locations from Summer after their spawning period is over.</t>
  </si>
  <si>
    <t>Yellow Perch</t>
  </si>
  <si>
    <t>10.2</t>
  </si>
  <si>
    <t>The yellow perch has an elongate, laterally compressed body with a subterminal mouth and a relatively long but blunt snout, which is surpassed in length by the lower jaw.</t>
  </si>
  <si>
    <t>Pikeperch</t>
  </si>
  <si>
    <t>The Pikeperch is the largest member of the perch family. The upper part of its body is green-brown in colour, and this extends onto the sides as dark vertical bars.</t>
  </si>
  <si>
    <t>Ruffe</t>
  </si>
  <si>
    <t>5.2</t>
  </si>
  <si>
    <t>It is a very aggressive fish for its size. The ruffe also has a large, spiny dorsal fin which is likely distasteful to its predators</t>
  </si>
  <si>
    <t>Milkfish</t>
  </si>
  <si>
    <t>The milkfish is an important seafood in Seran and some Ourea places. This fish is infamous for being much bonier than other food fishes.</t>
  </si>
  <si>
    <t>Mangrove Jack</t>
  </si>
  <si>
    <t>Snapper</t>
  </si>
  <si>
    <t>Autumn, Dry</t>
  </si>
  <si>
    <t>13.5</t>
  </si>
  <si>
    <t>2.3</t>
  </si>
  <si>
    <t>Coloration of the Mangrove Jack ranges from burnt orange to copper, to bronze, and dark reddish-brown, depending on its age and environment.</t>
  </si>
  <si>
    <t>Striped Mullet</t>
  </si>
  <si>
    <t>Mullet</t>
  </si>
  <si>
    <t>The back of the fish is olive-green, sides are silvery and shade to white towards the belly.</t>
  </si>
  <si>
    <t>Wrestling Halfbeak</t>
  </si>
  <si>
    <t>Halfbeak</t>
  </si>
  <si>
    <t>Wrestling halfbeaks are surface-feeding fish and feed on a variety of small invertebrates, including crustaceans and insect larvae.</t>
  </si>
  <si>
    <t>Longfin Tuna</t>
  </si>
  <si>
    <t>The albacore has a streamlined, fusiform body with a conical snout, large mouth, and big eyes. Its body is dark blue dorsally, shades of silvery white ventrally, and covered by small scales.</t>
  </si>
  <si>
    <t>Bigeye Tuna</t>
  </si>
  <si>
    <t>Spring, Dry</t>
  </si>
  <si>
    <t>25.5</t>
  </si>
  <si>
    <t>Spring, Winter, Monsoon</t>
  </si>
  <si>
    <t>The eyes of bigeye tuna are well developed and with a large spherical lens allowing their vision to function well in low light conditions.</t>
  </si>
  <si>
    <t>Northern Red Snapper</t>
  </si>
  <si>
    <t>Spring, Summer, Dry</t>
  </si>
  <si>
    <t>They eat almost anything, but prefer small fish and crustaceans. They can be caught on both live and cut bait</t>
  </si>
  <si>
    <t>Redmouth Grouper</t>
  </si>
  <si>
    <t>Grouper</t>
  </si>
  <si>
    <t>The redmouth grouper is laterally compressed and oval-shaped with a relatively deep body, which is around half of the standard length, and a large head.</t>
  </si>
  <si>
    <t>Slender Grouper</t>
  </si>
  <si>
    <t>Summer, Autumn, Monsoon</t>
  </si>
  <si>
    <t>The slender grouper is a medium-sized fish with a head that occupies 40% of the total length, and the mouth is large.</t>
  </si>
  <si>
    <t>Masked Grouper</t>
  </si>
  <si>
    <t/>
  </si>
  <si>
    <t>9.5</t>
  </si>
  <si>
    <t>The masked grouper has an oblong, rather compressed body, with the gill cover having a central spine which is located at one-third of the gap between the lower and upper spines.</t>
  </si>
  <si>
    <t>Earthworm</t>
  </si>
  <si>
    <t>Cheese</t>
  </si>
  <si>
    <t>Nightcrawler</t>
  </si>
  <si>
    <t>Bloodworm</t>
  </si>
  <si>
    <t>Mealworm</t>
  </si>
  <si>
    <t>Beetle Grub</t>
  </si>
  <si>
    <t>Grasshopper</t>
  </si>
  <si>
    <t>Cricket</t>
  </si>
  <si>
    <t>Cicada</t>
  </si>
  <si>
    <t>Dragonfly Nymph</t>
  </si>
  <si>
    <t>Crayfish</t>
  </si>
  <si>
    <t>Pond Snail</t>
  </si>
  <si>
    <t>Mussel Meat</t>
  </si>
  <si>
    <t>Rice</t>
  </si>
  <si>
    <t>Sweet Corn</t>
  </si>
  <si>
    <t>Category</t>
  </si>
  <si>
    <t>Sandworm</t>
  </si>
  <si>
    <t>Crustacean</t>
  </si>
  <si>
    <t>River Shrimp</t>
  </si>
  <si>
    <t>Small Crab</t>
  </si>
  <si>
    <t>Prawn</t>
  </si>
  <si>
    <t>Larvae</t>
  </si>
  <si>
    <t>Water Beetle Larva</t>
  </si>
  <si>
    <t>Superworm</t>
  </si>
  <si>
    <t>Insect</t>
  </si>
  <si>
    <t>Locust</t>
  </si>
  <si>
    <t>Termite</t>
  </si>
  <si>
    <t>Mollusk</t>
  </si>
  <si>
    <t>Cockle Meat</t>
  </si>
  <si>
    <t>Oyster Meat</t>
  </si>
  <si>
    <t>Sardine</t>
  </si>
  <si>
    <t>Anchovy</t>
  </si>
  <si>
    <t>Juvenile Carp</t>
  </si>
  <si>
    <t>Juvenile Perch</t>
  </si>
  <si>
    <t>Meat</t>
  </si>
  <si>
    <t>Chicken Meat</t>
  </si>
  <si>
    <t>Pork Meat</t>
  </si>
  <si>
    <t>Beef Meat</t>
  </si>
  <si>
    <t>Chicken Heart</t>
  </si>
  <si>
    <t>Pork Intestine</t>
  </si>
  <si>
    <t>Cephalopods</t>
  </si>
  <si>
    <t>Squid Strip</t>
  </si>
  <si>
    <t>Cuttlefish Strip</t>
  </si>
  <si>
    <t>Octopus Strip</t>
  </si>
  <si>
    <t>Clam Meat</t>
  </si>
  <si>
    <t>Shrimp</t>
  </si>
  <si>
    <t>1,2,3</t>
  </si>
  <si>
    <t>Ragworm</t>
  </si>
  <si>
    <t>Produce</t>
  </si>
  <si>
    <t>The basic natural bait that attract wide range of bottom-feeding fish and omnivorous fish.</t>
  </si>
  <si>
    <t>A large and lively worm that attracts bigger fish looking for an easy prey because of its movement.</t>
  </si>
  <si>
    <t>A tough marine worm that attracts aggressive predators lives in brackish and seawater.</t>
  </si>
  <si>
    <t>Bright red larvae rich in nutrients, irresistible to many insect-eating and bottom-feeding fish.</t>
  </si>
  <si>
    <t>A worm living inside a sandy bottom is targeted by fish that forage on the bottom of the water.</t>
  </si>
  <si>
    <t>A type of crustacean favored by freshwater and brackish predators.</t>
  </si>
  <si>
    <t>A small crustacean, a highly sought-after fish not bothered by the shell.</t>
  </si>
  <si>
    <t>A large meaty crustacean, irresistible to omnivorous fish and predator alike.</t>
  </si>
  <si>
    <t>A small freshwater crustacean that attracts fish that hunting aquatic prey.</t>
  </si>
  <si>
    <t>A freshwater crustacean is highly effective in attracting large predatory fish lurking near the bottom.</t>
  </si>
  <si>
    <t>A soft-bodied larva packed with protein necessary to attracts insect lover fish.</t>
  </si>
  <si>
    <t>An aquatic insect larva is preyed upon by many freshwater fish.</t>
  </si>
  <si>
    <t>A wriggling larvae that appeals to fish hunting for food near the surface of the water.</t>
  </si>
  <si>
    <t>A juicy aquatic larva that is hunted by fish searching for underwater insects.</t>
  </si>
  <si>
    <t>A larger worm that attracts bigger insectivorous fish.</t>
  </si>
  <si>
    <t>A surface insect that draws attention from fish that are waiting for an insect to fall into the water.</t>
  </si>
  <si>
    <t>A lively insect that moves constantly, attracting opportunistic fish.</t>
  </si>
  <si>
    <t>A large insect offering a big meal for surface-feeding fish.</t>
  </si>
  <si>
    <t>A seasonal insect that fish loved, eagerly waiting for it to drop to water.</t>
  </si>
  <si>
    <t>A small insect is often consumed by a swarm of fish or a school of fish.</t>
  </si>
  <si>
    <t>Soft shellfish meat that has a strong scent that attracts bottom-feeding fish.</t>
  </si>
  <si>
    <t>A common freshwater mollusk that loves the taste of shelled animal.</t>
  </si>
  <si>
    <t>Tender clam meat that releases a scent, irresistible to bottom-feeding fish, even humans.</t>
  </si>
  <si>
    <t>A salty shellfish popular among brackish and coastal fish.</t>
  </si>
  <si>
    <t>Rich, oily meat that attracts fish relying on scent to locate their food.</t>
  </si>
  <si>
    <t>A live baitfish that attracts larger fish that are hunting small fish.</t>
  </si>
  <si>
    <t>An oily baitfish that produces a scent trail irresistible to marine predators.</t>
  </si>
  <si>
    <t>A small baitfish is attractive to schooling predators.</t>
  </si>
  <si>
    <t>A small carp that attracts larger freshwater predators.</t>
  </si>
  <si>
    <t>A natural prey for some large carnivorous fish.</t>
  </si>
  <si>
    <t>A chunk of meat whose strong scent is really effective to attracts scavenger and opportunistic predator fish.</t>
  </si>
  <si>
    <t>Fatty meat for an unusual fish that is not afraid to try anything new.</t>
  </si>
  <si>
    <t>Tender meat is used to attract omnivorous and predator fish alike.</t>
  </si>
  <si>
    <t>Dense and durable bait that stays on the hook even after being peck by predators.</t>
  </si>
  <si>
    <t>Tough, oily intestine that release strong scent to attract big predator.</t>
  </si>
  <si>
    <t>A simple bait to catch herbivorous and omnivorous fish.</t>
  </si>
  <si>
    <t>Soft and moldable bait commonly used for fish that feed on plants and grain matter.</t>
  </si>
  <si>
    <t>Attract curious omnivorous fish with its color and sweet scent.</t>
  </si>
  <si>
    <t>Small grain is occasionally eaten by fish lived near farm water.</t>
  </si>
  <si>
    <t>A pungent dairy bait whose rich aroma attracts omnivorous and scent-driven fish.</t>
  </si>
  <si>
    <t>Tough, chewy strip of flesh that stays on the hook attracting saltwater predators.</t>
  </si>
  <si>
    <t>Meaty strip of flesh with a rich scent, good for attracting marine predator.</t>
  </si>
  <si>
    <t>Firm flesh that is good for attracting powerful predator on the ocean.</t>
  </si>
  <si>
    <t>Bamboo Pole</t>
  </si>
  <si>
    <t>Willow Pole</t>
  </si>
  <si>
    <t>Hazel Pole</t>
  </si>
  <si>
    <t>Birch Rod</t>
  </si>
  <si>
    <t>Maple Rod</t>
  </si>
  <si>
    <t>Elm Rod</t>
  </si>
  <si>
    <t>Cedar Rod</t>
  </si>
  <si>
    <t>Juniper Rod</t>
  </si>
  <si>
    <t>Walnut Rod</t>
  </si>
  <si>
    <t>Ebony Rod</t>
  </si>
  <si>
    <t>Rosewood Rod</t>
  </si>
  <si>
    <t>Ironwood Rod</t>
  </si>
  <si>
    <t xml:space="preserve">Yew Wood Rod </t>
  </si>
  <si>
    <t>Basic</t>
  </si>
  <si>
    <t>Intermediate</t>
  </si>
  <si>
    <t>Advanced</t>
  </si>
  <si>
    <t>Dragonwood Rod</t>
  </si>
  <si>
    <t>Level</t>
  </si>
  <si>
    <t>Crimson Wood Rod</t>
  </si>
  <si>
    <t>The most basic fishing pole, perfect for a beginner who is learning the art of fishing. Lightweight and surprisingly durable.</t>
  </si>
  <si>
    <t>Made from a flexible willow wood, it bends easily under pressure, helping it from snapping.</t>
  </si>
  <si>
    <t>A sturdy pole, valued for its balance of strength and flexibility, making it a good choice for everyday uses.</t>
  </si>
  <si>
    <t>A lightweight rod with a smooth pole, offering improved handling during long periods of fishing trips.</t>
  </si>
  <si>
    <t>Carved from a hard maple wood, this well-balanced rod provides dependable control necessary to catch a big fish.</t>
  </si>
  <si>
    <t>Known for its durability and resistance to splitting, the elm rod can withstand repeated use even in more demanding conditions.</t>
  </si>
  <si>
    <t>Crafted from an aromatic cedar wood, this lightweight rod naturally resist moisture and decay making it ideal for fishing at a damp environment</t>
  </si>
  <si>
    <t>A finely crafted rod using walnut wood, this rod has an elegant appearance and dependable strength for catching larger fish.</t>
  </si>
  <si>
    <t>Made from resilient juniper wood, making it a great rod naturally resistant to the elements.</t>
  </si>
  <si>
    <t>Forged from a rare ebony wood, its dense wood structure provide remarkable strength while also showing a fancy dark finish.</t>
  </si>
  <si>
    <t>A beautifully crafted grained rod made from a premium rosewood found only on Rosegleam, with an exceptional craftmanship and reliable performance, its no wonder noble family prefer this type of rod.</t>
  </si>
  <si>
    <t>Constructed from a rare ironwood, native to the city of Ourea, this incredibly durable rod is built to withstand even the fiercest battle with a giant fish.</t>
  </si>
  <si>
    <t>Crafted from the legendary Yew tree, this rod is said to be able to catch even the Jormungard itself. With a beautiful finish and durable performance, this rod is a dream rod for Tidehaven fishermen.</t>
  </si>
  <si>
    <t>This rod was crafted using the mutated tree known as Dragonwood, the characteristic of the wood transfer over to the rod. Warm to the touch and easy to handle, this rod able to catch the biggest fish there is.</t>
  </si>
  <si>
    <t xml:space="preserve">Native to the woods of Seran forest, this crimson rod can withstand the harshest battle among the biggest fish in Endral. </t>
  </si>
  <si>
    <t>Reed Pole</t>
  </si>
  <si>
    <t>Ash Pole</t>
  </si>
  <si>
    <t>Hickory Pole</t>
  </si>
  <si>
    <t>Made from a resilient ash wood, this pole offers excellent durability and reliable performance in a variety of water.</t>
  </si>
  <si>
    <t>Pole that was crafted by bundling a bunch of reeds together. Lightweight rod that is easy to carry, but lacks power.</t>
  </si>
  <si>
    <t>Built from a dense hickory wood, this pole is favored by fishermen that trying to catch big predator fish.</t>
  </si>
  <si>
    <t>Evrys Estuary</t>
  </si>
  <si>
    <t>Said to be the place where Naiads give offerings to the god of the sea himself, Poseidon. Some even say this is the place where Poseidon mated with a Naiad named Chione.</t>
  </si>
  <si>
    <t>Seribu Arus Estuary</t>
  </si>
  <si>
    <t>It is said that a rich merchant's daughter drowned herself here and transformed into a white crocodile with the help of the lake spirit.</t>
  </si>
  <si>
    <t>Old sailors claim the river was formed by the saliva of Fenrir when it was bound by the gods. During heavy rain, the river will turn white, indicating that the Fenrir may still be alive somewhere along the river.</t>
  </si>
  <si>
    <t>Once upon a time, there was a giantess powerful enough to increase the Ormr River water to drown Thor.</t>
  </si>
  <si>
    <t>Roufíchtra Ocean</t>
  </si>
  <si>
    <t>The sea monster Charybdis is said to be living somewhere around this ocean, pulling the sea three times a day, creating a massive whirlpool.</t>
  </si>
  <si>
    <t>Purba Mangrove, Ægir Fjord, Evrys Estuary, Seribu Arus Estuary</t>
  </si>
  <si>
    <t>Ægir Fjord, Seribu Arus Estuary</t>
  </si>
  <si>
    <t>Purba Mangrove, Evrys Estuary</t>
  </si>
  <si>
    <t>Purba Mangrove, Ægir Fjord</t>
  </si>
  <si>
    <t>Evrys Estuary, Seribu Arus Estuary</t>
  </si>
  <si>
    <t>Purba Mangrove, Seribu Arus Estuary</t>
  </si>
  <si>
    <t>Purba mangrove, Ægir Fjord, Seribu Arus Estuary</t>
  </si>
  <si>
    <t>Purba mangrove, Ægir Fjord</t>
  </si>
  <si>
    <t>Purba mangrove, Ægir Fjord, Evrys Estuary, Seribu Arus Estuary</t>
  </si>
  <si>
    <t>Tanjung Seran Harbor, Gröfgarðr Shore, Sjókona Beach, Harma Ocean, Roufíchtra Ocean</t>
  </si>
  <si>
    <t>Tanjung Seran Harbor, Gröfgarðr Shore, Harma Ocean</t>
  </si>
  <si>
    <t>Tanjung Seran Harbor, Gröfgarðr Shore, Sjókona Beach, Harma Ocean</t>
  </si>
  <si>
    <t>Sjókona Beach, Harma Ocean</t>
  </si>
  <si>
    <t>Tanjung Seran Harbor, Gröfgarðr Shore, Sjókona Beach</t>
  </si>
  <si>
    <t>Tanjung Seran Harbor, Sjókona Beach, Harma Ocean</t>
  </si>
  <si>
    <t>Gröfgarðr Shore, Roufíchtra Ocean</t>
  </si>
  <si>
    <t>Gröfgarðr Shore, Harma Ocean</t>
  </si>
  <si>
    <t>Tanjung Seran Harbor, Harma Ocean</t>
  </si>
  <si>
    <t>Gröfgarðr Shore, Sjókona Beach,</t>
  </si>
  <si>
    <t>Gröfgarðr Shore, Sjókona Beach, Harma Ocean, Roufíchtra Ocean</t>
  </si>
  <si>
    <t>Tanjung Seran Harbor, Gröfgarðr Shore, Sjókona Beach, Roufíchtra Ocean</t>
  </si>
  <si>
    <t>Tanjung Seran Harbor, Gröfgarðr Shore, Harma Ocean, Roufíchtra Ocean</t>
  </si>
  <si>
    <t>Gröfgarðr Shore, Sjókona Beach</t>
  </si>
  <si>
    <t>Tanjung Seran Harbor, Harma Ocean, Roufíchtra Ocean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</si>
</sst>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0"/>
      <name val="Calibri"/>
      <family val="2"/>
      <scheme val="minor"/>
    </font>
    <font>
      <b/>
      <sz val="11"/>
      <color theme="0"/>
      <name val="Times New Roman"/>
      <family val="1"/>
    </font>
    <font>
      <sz val="11"/>
      <color theme="0"/>
      <name val="Times New Roman"/>
      <family val="1"/>
    </font>
    <font>
      <b/>
      <sz val="13.5"/>
      <color theme="0"/>
      <name val="Times New Roman"/>
      <family val="1"/>
    </font>
  </fonts>
  <fills count="3">
    <fill>
      <patternFill patternType="none"/>
    </fill>
    <fill>
      <patternFill patternType="gray125"/>
    </fill>
    <fill>
      <patternFill patternType="solid">
        <fgColor theme="1" tint="0.14999847407452621"/>
        <bgColor indexed="64"/>
      </patternFill>
    </fill>
  </fills>
  <borders count="1">
    <border>
      <left/>
      <right/>
      <top/>
      <bottom/>
      <diagonal/>
    </border>
  </borders>
  <cellStyleXfs count="1">
    <xf numFmtId="0" fontId="0" fillId="0" borderId="0"/>
  </cellStyleXfs>
  <cellXfs count="20">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left" vertical="center"/>
    </xf>
    <xf numFmtId="0" fontId="3" fillId="2" borderId="0" xfId="0" applyFont="1" applyFill="1" applyAlignment="1">
      <alignment horizontal="right" vertical="center"/>
    </xf>
    <xf numFmtId="0" fontId="3" fillId="2" borderId="0" xfId="0" applyFont="1" applyFill="1" applyAlignment="1">
      <alignment vertical="center"/>
    </xf>
    <xf numFmtId="0" fontId="1" fillId="2" borderId="0" xfId="0" applyFont="1" applyFill="1" applyAlignment="1">
      <alignment vertical="center"/>
    </xf>
    <xf numFmtId="0" fontId="4" fillId="2" borderId="0" xfId="0" applyFont="1" applyFill="1" applyAlignment="1">
      <alignment horizontal="left" vertical="center"/>
    </xf>
    <xf numFmtId="0" fontId="3" fillId="2" borderId="0" xfId="0" applyFont="1" applyFill="1"/>
    <xf numFmtId="0" fontId="3" fillId="2" borderId="0" xfId="0" applyFont="1" applyFill="1" applyAlignment="1">
      <alignment horizontal="left" vertical="center" indent="1"/>
    </xf>
    <xf numFmtId="0" fontId="3" fillId="2" borderId="0" xfId="0" applyFont="1" applyFill="1" applyAlignment="1">
      <alignment horizontal="left"/>
    </xf>
    <xf numFmtId="0" fontId="2" fillId="2" borderId="0" xfId="0" applyFont="1" applyFill="1" applyAlignment="1">
      <alignment vertical="center" wrapText="1"/>
    </xf>
    <xf numFmtId="0" fontId="3" fillId="2" borderId="0" xfId="0" applyFont="1" applyFill="1" applyAlignment="1">
      <alignment vertical="center" wrapText="1"/>
    </xf>
    <xf numFmtId="0" fontId="3" fillId="2" borderId="0" xfId="0" quotePrefix="1" applyFont="1" applyFill="1" applyAlignment="1">
      <alignment vertical="center" wrapText="1"/>
    </xf>
    <xf numFmtId="0" fontId="2" fillId="2" borderId="0" xfId="0" applyFont="1" applyFill="1" applyAlignment="1">
      <alignment vertical="center"/>
    </xf>
    <xf numFmtId="0" fontId="3" fillId="2" borderId="0" xfId="0" applyFont="1" applyFill="1" applyAlignment="1">
      <alignment wrapText="1"/>
    </xf>
    <xf numFmtId="0" fontId="2" fillId="2" borderId="0" xfId="0" applyFont="1" applyFill="1"/>
    <xf numFmtId="0" fontId="2" fillId="2" borderId="0" xfId="0" applyFont="1" applyFill="1" applyAlignment="1">
      <alignment horizontal="left" vertical="center"/>
    </xf>
    <xf numFmtId="0" fontId="3" fillId="2" borderId="0" xfId="0" applyFont="1" applyFill="1" applyAlignment="1">
      <alignment horizontal="right" vertical="center" wrapText="1"/>
    </xf>
    <xf numFmtId="0" fontId="3" fillId="2" borderId="0" xfId="0" quotePrefix="1" applyFont="1" applyFill="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4260D-1473-4B2E-8F80-948837984D02}">
  <sheetPr codeName="Sheet1"/>
  <dimension ref="A1:A37"/>
  <sheetViews>
    <sheetView workbookViewId="0">
      <selection activeCell="A22" sqref="A22"/>
    </sheetView>
  </sheetViews>
  <sheetFormatPr defaultRowHeight="13.8" x14ac:dyDescent="0.25"/>
  <cols>
    <col min="1" max="1" width="48.33203125" style="8" bestFit="1" customWidth="1"/>
    <col min="2" max="16384" width="8.88671875" style="8"/>
  </cols>
  <sheetData>
    <row r="1" spans="1:1" ht="17.399999999999999" x14ac:dyDescent="0.25">
      <c r="A1" s="7" t="s">
        <v>39</v>
      </c>
    </row>
    <row r="2" spans="1:1" x14ac:dyDescent="0.25">
      <c r="A2" s="9"/>
    </row>
    <row r="3" spans="1:1" x14ac:dyDescent="0.25">
      <c r="A3" s="9" t="s">
        <v>66</v>
      </c>
    </row>
    <row r="4" spans="1:1" x14ac:dyDescent="0.25">
      <c r="A4" s="9" t="s">
        <v>67</v>
      </c>
    </row>
    <row r="5" spans="1:1" x14ac:dyDescent="0.25">
      <c r="A5" s="9" t="s">
        <v>68</v>
      </c>
    </row>
    <row r="6" spans="1:1" x14ac:dyDescent="0.25">
      <c r="A6" s="9" t="s">
        <v>69</v>
      </c>
    </row>
    <row r="7" spans="1:1" x14ac:dyDescent="0.25">
      <c r="A7" s="9" t="s">
        <v>70</v>
      </c>
    </row>
    <row r="8" spans="1:1" x14ac:dyDescent="0.25">
      <c r="A8" s="9" t="s">
        <v>71</v>
      </c>
    </row>
    <row r="9" spans="1:1" x14ac:dyDescent="0.25">
      <c r="A9" s="9" t="s">
        <v>72</v>
      </c>
    </row>
    <row r="10" spans="1:1" x14ac:dyDescent="0.25">
      <c r="A10" s="9" t="s">
        <v>73</v>
      </c>
    </row>
    <row r="11" spans="1:1" x14ac:dyDescent="0.25">
      <c r="A11" s="9" t="s">
        <v>74</v>
      </c>
    </row>
    <row r="12" spans="1:1" x14ac:dyDescent="0.25">
      <c r="A12" s="9" t="s">
        <v>57</v>
      </c>
    </row>
    <row r="13" spans="1:1" x14ac:dyDescent="0.25">
      <c r="A13" s="9" t="s">
        <v>75</v>
      </c>
    </row>
    <row r="14" spans="1:1" x14ac:dyDescent="0.25">
      <c r="A14" s="9" t="s">
        <v>76</v>
      </c>
    </row>
    <row r="15" spans="1:1" x14ac:dyDescent="0.25">
      <c r="A15" s="9" t="s">
        <v>77</v>
      </c>
    </row>
    <row r="16" spans="1:1" x14ac:dyDescent="0.25">
      <c r="A16" s="9" t="s">
        <v>78</v>
      </c>
    </row>
    <row r="17" spans="1:1" x14ac:dyDescent="0.25">
      <c r="A17" s="10"/>
    </row>
    <row r="18" spans="1:1" ht="17.399999999999999" x14ac:dyDescent="0.25">
      <c r="A18" s="7" t="s">
        <v>79</v>
      </c>
    </row>
    <row r="19" spans="1:1" x14ac:dyDescent="0.25">
      <c r="A19" s="9"/>
    </row>
    <row r="20" spans="1:1" x14ac:dyDescent="0.25">
      <c r="A20" s="9" t="s">
        <v>80</v>
      </c>
    </row>
    <row r="21" spans="1:1" x14ac:dyDescent="0.25">
      <c r="A21" s="9" t="s">
        <v>81</v>
      </c>
    </row>
    <row r="22" spans="1:1" x14ac:dyDescent="0.25">
      <c r="A22" s="9" t="s">
        <v>82</v>
      </c>
    </row>
    <row r="23" spans="1:1" x14ac:dyDescent="0.25">
      <c r="A23" s="9" t="s">
        <v>83</v>
      </c>
    </row>
    <row r="24" spans="1:1" x14ac:dyDescent="0.25">
      <c r="A24" s="9" t="s">
        <v>84</v>
      </c>
    </row>
    <row r="25" spans="1:1" x14ac:dyDescent="0.25">
      <c r="A25" s="9" t="s">
        <v>85</v>
      </c>
    </row>
    <row r="26" spans="1:1" x14ac:dyDescent="0.25">
      <c r="A26" s="10"/>
    </row>
    <row r="27" spans="1:1" ht="17.399999999999999" x14ac:dyDescent="0.25">
      <c r="A27" s="7" t="s">
        <v>86</v>
      </c>
    </row>
    <row r="28" spans="1:1" x14ac:dyDescent="0.25">
      <c r="A28" s="9"/>
    </row>
    <row r="29" spans="1:1" x14ac:dyDescent="0.25">
      <c r="A29" s="9" t="s">
        <v>87</v>
      </c>
    </row>
    <row r="30" spans="1:1" x14ac:dyDescent="0.25">
      <c r="A30" s="9" t="s">
        <v>88</v>
      </c>
    </row>
    <row r="31" spans="1:1" x14ac:dyDescent="0.25">
      <c r="A31" s="9" t="s">
        <v>89</v>
      </c>
    </row>
    <row r="32" spans="1:1" x14ac:dyDescent="0.25">
      <c r="A32" s="9" t="s">
        <v>90</v>
      </c>
    </row>
    <row r="33" spans="1:1" x14ac:dyDescent="0.25">
      <c r="A33" s="9" t="s">
        <v>91</v>
      </c>
    </row>
    <row r="34" spans="1:1" x14ac:dyDescent="0.25">
      <c r="A34" s="9" t="s">
        <v>92</v>
      </c>
    </row>
    <row r="35" spans="1:1" x14ac:dyDescent="0.25">
      <c r="A35" s="9" t="s">
        <v>93</v>
      </c>
    </row>
    <row r="36" spans="1:1" x14ac:dyDescent="0.25">
      <c r="A36" s="9" t="s">
        <v>94</v>
      </c>
    </row>
    <row r="37" spans="1:1" x14ac:dyDescent="0.25">
      <c r="A37" s="9"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2325F-7566-4EAC-9652-45A711BDD2B5}">
  <sheetPr codeName="Sheet2"/>
  <dimension ref="A1:F7"/>
  <sheetViews>
    <sheetView workbookViewId="0">
      <pane ySplit="1" topLeftCell="A2" activePane="bottomLeft" state="frozen"/>
      <selection pane="bottomLeft" activeCell="D22" sqref="D22"/>
    </sheetView>
  </sheetViews>
  <sheetFormatPr defaultRowHeight="13.8" x14ac:dyDescent="0.25"/>
  <cols>
    <col min="1" max="1" width="6.21875" style="12" bestFit="1" customWidth="1"/>
    <col min="2" max="2" width="10.44140625" style="12" bestFit="1" customWidth="1"/>
    <col min="3" max="3" width="13.21875" style="12" bestFit="1" customWidth="1"/>
    <col min="4" max="4" width="9" style="12" bestFit="1" customWidth="1"/>
    <col min="5" max="5" width="11.44140625" style="12" bestFit="1" customWidth="1"/>
    <col min="6" max="6" width="13.77734375" style="12" bestFit="1" customWidth="1"/>
    <col min="7" max="16384" width="8.88671875" style="8"/>
  </cols>
  <sheetData>
    <row r="1" spans="1:6" x14ac:dyDescent="0.25">
      <c r="A1" s="11" t="s">
        <v>230</v>
      </c>
      <c r="B1" s="11" t="s">
        <v>0</v>
      </c>
      <c r="C1" s="11" t="s">
        <v>231</v>
      </c>
      <c r="D1" s="11" t="s">
        <v>232</v>
      </c>
      <c r="E1" s="11" t="s">
        <v>233</v>
      </c>
      <c r="F1" s="11" t="s">
        <v>234</v>
      </c>
    </row>
    <row r="2" spans="1:6" x14ac:dyDescent="0.25">
      <c r="A2" s="12" t="s">
        <v>229</v>
      </c>
      <c r="B2" s="12" t="s">
        <v>15</v>
      </c>
      <c r="C2" s="12" t="s">
        <v>328</v>
      </c>
      <c r="D2" s="12">
        <v>100</v>
      </c>
      <c r="E2" s="12">
        <v>0</v>
      </c>
      <c r="F2" s="12">
        <v>5</v>
      </c>
    </row>
    <row r="3" spans="1:6" x14ac:dyDescent="0.25">
      <c r="A3" s="12" t="s">
        <v>235</v>
      </c>
      <c r="B3" s="12" t="s">
        <v>17</v>
      </c>
      <c r="C3" s="12" t="s">
        <v>327</v>
      </c>
      <c r="D3" s="12">
        <v>100</v>
      </c>
      <c r="E3" s="12">
        <v>0</v>
      </c>
      <c r="F3" s="12">
        <v>4</v>
      </c>
    </row>
    <row r="4" spans="1:6" x14ac:dyDescent="0.25">
      <c r="A4" s="12" t="s">
        <v>236</v>
      </c>
      <c r="B4" s="12" t="s">
        <v>20</v>
      </c>
      <c r="C4" s="13" t="s">
        <v>326</v>
      </c>
      <c r="D4" s="12">
        <v>60</v>
      </c>
      <c r="E4" s="12">
        <v>15</v>
      </c>
      <c r="F4" s="12">
        <v>3</v>
      </c>
    </row>
    <row r="5" spans="1:6" x14ac:dyDescent="0.25">
      <c r="A5" s="12" t="s">
        <v>237</v>
      </c>
      <c r="B5" s="12" t="s">
        <v>240</v>
      </c>
      <c r="C5" s="13" t="s">
        <v>325</v>
      </c>
      <c r="D5" s="12">
        <v>20</v>
      </c>
      <c r="E5" s="12">
        <v>25</v>
      </c>
      <c r="F5" s="12">
        <v>2</v>
      </c>
    </row>
    <row r="6" spans="1:6" x14ac:dyDescent="0.25">
      <c r="A6" s="12" t="s">
        <v>238</v>
      </c>
      <c r="B6" s="12" t="s">
        <v>241</v>
      </c>
      <c r="C6" s="13" t="s">
        <v>324</v>
      </c>
      <c r="D6" s="12">
        <v>10</v>
      </c>
      <c r="E6" s="12">
        <v>40</v>
      </c>
      <c r="F6" s="12">
        <v>1</v>
      </c>
    </row>
    <row r="7" spans="1:6" x14ac:dyDescent="0.25">
      <c r="A7" s="12" t="s">
        <v>239</v>
      </c>
      <c r="B7" s="12" t="s">
        <v>242</v>
      </c>
      <c r="C7" s="12" t="s">
        <v>243</v>
      </c>
      <c r="D7" s="12">
        <v>100</v>
      </c>
      <c r="E7" s="12">
        <v>30</v>
      </c>
      <c r="F7" s="1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740DA-B477-45BF-81B5-E0EFA8CDE1AC}">
  <sheetPr codeName="Sheet3"/>
  <dimension ref="A1:D44"/>
  <sheetViews>
    <sheetView workbookViewId="0">
      <pane ySplit="1" topLeftCell="A33" activePane="bottomLeft" state="frozen"/>
      <selection pane="bottomLeft" activeCell="D45" sqref="D45"/>
    </sheetView>
  </sheetViews>
  <sheetFormatPr defaultRowHeight="13.8" x14ac:dyDescent="0.25"/>
  <cols>
    <col min="1" max="1" width="20.88671875" style="5" customWidth="1"/>
    <col min="2" max="2" width="11.109375" style="5" bestFit="1" customWidth="1"/>
    <col min="3" max="3" width="11.109375" style="4" customWidth="1"/>
    <col min="4" max="4" width="44.5546875" style="12" customWidth="1"/>
    <col min="5" max="16384" width="8.88671875" style="8"/>
  </cols>
  <sheetData>
    <row r="1" spans="1:4" x14ac:dyDescent="0.25">
      <c r="A1" s="11" t="s">
        <v>0</v>
      </c>
      <c r="B1" s="11" t="s">
        <v>460</v>
      </c>
      <c r="C1" s="1" t="s">
        <v>37</v>
      </c>
      <c r="D1" s="11" t="s">
        <v>1</v>
      </c>
    </row>
    <row r="2" spans="1:4" ht="27.6" x14ac:dyDescent="0.25">
      <c r="A2" s="12" t="s">
        <v>445</v>
      </c>
      <c r="B2" s="12" t="s">
        <v>4</v>
      </c>
      <c r="C2" s="18">
        <v>1.2</v>
      </c>
      <c r="D2" s="12" t="s">
        <v>494</v>
      </c>
    </row>
    <row r="3" spans="1:4" ht="27.6" x14ac:dyDescent="0.25">
      <c r="A3" s="12" t="s">
        <v>447</v>
      </c>
      <c r="B3" s="12" t="s">
        <v>4</v>
      </c>
      <c r="C3" s="18">
        <v>1.2</v>
      </c>
      <c r="D3" s="12" t="s">
        <v>495</v>
      </c>
    </row>
    <row r="4" spans="1:4" ht="27.6" x14ac:dyDescent="0.25">
      <c r="A4" s="12" t="s">
        <v>492</v>
      </c>
      <c r="B4" s="12" t="s">
        <v>4</v>
      </c>
      <c r="C4" s="18">
        <v>2.2999999999999998</v>
      </c>
      <c r="D4" s="12" t="s">
        <v>496</v>
      </c>
    </row>
    <row r="5" spans="1:4" ht="27.6" x14ac:dyDescent="0.25">
      <c r="A5" s="12" t="s">
        <v>448</v>
      </c>
      <c r="B5" s="12" t="s">
        <v>4</v>
      </c>
      <c r="C5" s="18" t="s">
        <v>491</v>
      </c>
      <c r="D5" s="12" t="s">
        <v>497</v>
      </c>
    </row>
    <row r="6" spans="1:4" ht="27.6" x14ac:dyDescent="0.25">
      <c r="A6" s="12" t="s">
        <v>461</v>
      </c>
      <c r="B6" s="12" t="s">
        <v>4</v>
      </c>
      <c r="C6" s="18">
        <v>2.2999999999999998</v>
      </c>
      <c r="D6" s="12" t="s">
        <v>498</v>
      </c>
    </row>
    <row r="7" spans="1:4" ht="27.6" x14ac:dyDescent="0.25">
      <c r="A7" s="12" t="s">
        <v>463</v>
      </c>
      <c r="B7" s="12" t="s">
        <v>462</v>
      </c>
      <c r="C7" s="18">
        <v>1.2</v>
      </c>
      <c r="D7" s="12" t="s">
        <v>499</v>
      </c>
    </row>
    <row r="8" spans="1:4" ht="27.6" x14ac:dyDescent="0.25">
      <c r="A8" s="5" t="s">
        <v>464</v>
      </c>
      <c r="B8" s="12" t="s">
        <v>462</v>
      </c>
      <c r="C8" s="18">
        <v>2.2999999999999998</v>
      </c>
      <c r="D8" s="12" t="s">
        <v>500</v>
      </c>
    </row>
    <row r="9" spans="1:4" ht="27.6" x14ac:dyDescent="0.25">
      <c r="A9" s="5" t="s">
        <v>465</v>
      </c>
      <c r="B9" s="12" t="s">
        <v>462</v>
      </c>
      <c r="C9" s="18" t="s">
        <v>491</v>
      </c>
      <c r="D9" s="12" t="s">
        <v>501</v>
      </c>
    </row>
    <row r="10" spans="1:4" ht="27.6" x14ac:dyDescent="0.25">
      <c r="A10" s="5" t="s">
        <v>490</v>
      </c>
      <c r="B10" s="12" t="s">
        <v>462</v>
      </c>
      <c r="C10" s="18" t="s">
        <v>491</v>
      </c>
      <c r="D10" s="12" t="s">
        <v>502</v>
      </c>
    </row>
    <row r="11" spans="1:4" ht="41.4" x14ac:dyDescent="0.25">
      <c r="A11" s="5" t="s">
        <v>455</v>
      </c>
      <c r="B11" s="12" t="s">
        <v>462</v>
      </c>
      <c r="C11" s="18">
        <v>1</v>
      </c>
      <c r="D11" s="12" t="s">
        <v>503</v>
      </c>
    </row>
    <row r="12" spans="1:4" ht="27.6" x14ac:dyDescent="0.25">
      <c r="A12" s="5" t="s">
        <v>450</v>
      </c>
      <c r="B12" s="5" t="s">
        <v>466</v>
      </c>
      <c r="C12" s="4">
        <v>1</v>
      </c>
      <c r="D12" s="12" t="s">
        <v>504</v>
      </c>
    </row>
    <row r="13" spans="1:4" ht="27.6" x14ac:dyDescent="0.25">
      <c r="A13" s="5" t="s">
        <v>449</v>
      </c>
      <c r="B13" s="5" t="s">
        <v>466</v>
      </c>
      <c r="C13" s="4">
        <v>1</v>
      </c>
      <c r="D13" s="12" t="s">
        <v>506</v>
      </c>
    </row>
    <row r="14" spans="1:4" ht="27.6" x14ac:dyDescent="0.25">
      <c r="A14" s="5" t="s">
        <v>454</v>
      </c>
      <c r="B14" s="5" t="s">
        <v>466</v>
      </c>
      <c r="C14" s="4">
        <v>1</v>
      </c>
      <c r="D14" s="12" t="s">
        <v>505</v>
      </c>
    </row>
    <row r="15" spans="1:4" ht="27.6" x14ac:dyDescent="0.25">
      <c r="A15" s="5" t="s">
        <v>467</v>
      </c>
      <c r="B15" s="5" t="s">
        <v>466</v>
      </c>
      <c r="C15" s="4">
        <v>1</v>
      </c>
      <c r="D15" s="12" t="s">
        <v>507</v>
      </c>
    </row>
    <row r="16" spans="1:4" x14ac:dyDescent="0.25">
      <c r="A16" s="5" t="s">
        <v>468</v>
      </c>
      <c r="B16" s="5" t="s">
        <v>466</v>
      </c>
      <c r="C16" s="4">
        <v>1</v>
      </c>
      <c r="D16" s="12" t="s">
        <v>508</v>
      </c>
    </row>
    <row r="17" spans="1:4" ht="27.6" x14ac:dyDescent="0.25">
      <c r="A17" s="5" t="s">
        <v>451</v>
      </c>
      <c r="B17" s="5" t="s">
        <v>469</v>
      </c>
      <c r="C17" s="4">
        <v>1.2</v>
      </c>
      <c r="D17" s="12" t="s">
        <v>509</v>
      </c>
    </row>
    <row r="18" spans="1:4" ht="27.6" x14ac:dyDescent="0.25">
      <c r="A18" s="5" t="s">
        <v>452</v>
      </c>
      <c r="B18" s="5" t="s">
        <v>469</v>
      </c>
      <c r="C18" s="4">
        <v>1.2</v>
      </c>
      <c r="D18" s="12" t="s">
        <v>510</v>
      </c>
    </row>
    <row r="19" spans="1:4" ht="27.6" x14ac:dyDescent="0.25">
      <c r="A19" s="5" t="s">
        <v>470</v>
      </c>
      <c r="B19" s="5" t="s">
        <v>469</v>
      </c>
      <c r="C19" s="4">
        <v>1</v>
      </c>
      <c r="D19" s="12" t="s">
        <v>511</v>
      </c>
    </row>
    <row r="20" spans="1:4" ht="27.6" x14ac:dyDescent="0.25">
      <c r="A20" s="5" t="s">
        <v>453</v>
      </c>
      <c r="B20" s="5" t="s">
        <v>469</v>
      </c>
      <c r="C20" s="4">
        <v>1</v>
      </c>
      <c r="D20" s="12" t="s">
        <v>512</v>
      </c>
    </row>
    <row r="21" spans="1:4" ht="27.6" x14ac:dyDescent="0.25">
      <c r="A21" s="5" t="s">
        <v>471</v>
      </c>
      <c r="B21" s="5" t="s">
        <v>469</v>
      </c>
      <c r="C21" s="4">
        <v>1</v>
      </c>
      <c r="D21" s="12" t="s">
        <v>513</v>
      </c>
    </row>
    <row r="22" spans="1:4" ht="27.6" x14ac:dyDescent="0.25">
      <c r="A22" s="5" t="s">
        <v>457</v>
      </c>
      <c r="B22" s="5" t="s">
        <v>472</v>
      </c>
      <c r="C22" s="4" t="s">
        <v>491</v>
      </c>
      <c r="D22" s="12" t="s">
        <v>514</v>
      </c>
    </row>
    <row r="23" spans="1:4" ht="27.6" x14ac:dyDescent="0.25">
      <c r="A23" s="12" t="s">
        <v>456</v>
      </c>
      <c r="B23" s="5" t="s">
        <v>472</v>
      </c>
      <c r="C23" s="4">
        <v>1</v>
      </c>
      <c r="D23" s="12" t="s">
        <v>515</v>
      </c>
    </row>
    <row r="24" spans="1:4" ht="27.6" x14ac:dyDescent="0.25">
      <c r="A24" s="12" t="s">
        <v>489</v>
      </c>
      <c r="B24" s="5" t="s">
        <v>472</v>
      </c>
      <c r="C24" s="4">
        <v>1</v>
      </c>
      <c r="D24" s="12" t="s">
        <v>516</v>
      </c>
    </row>
    <row r="25" spans="1:4" ht="27.6" x14ac:dyDescent="0.25">
      <c r="A25" s="12" t="s">
        <v>473</v>
      </c>
      <c r="B25" s="5" t="s">
        <v>472</v>
      </c>
      <c r="C25" s="4">
        <v>2.2999999999999998</v>
      </c>
      <c r="D25" s="12" t="s">
        <v>517</v>
      </c>
    </row>
    <row r="26" spans="1:4" ht="27.6" x14ac:dyDescent="0.25">
      <c r="A26" s="5" t="s">
        <v>474</v>
      </c>
      <c r="B26" s="5" t="s">
        <v>472</v>
      </c>
      <c r="C26" s="4">
        <v>2.2999999999999998</v>
      </c>
      <c r="D26" s="12" t="s">
        <v>518</v>
      </c>
    </row>
    <row r="27" spans="1:4" ht="27.6" x14ac:dyDescent="0.25">
      <c r="A27" s="5" t="s">
        <v>6</v>
      </c>
      <c r="B27" s="5" t="s">
        <v>146</v>
      </c>
      <c r="C27" s="4">
        <v>1.2</v>
      </c>
      <c r="D27" s="12" t="s">
        <v>519</v>
      </c>
    </row>
    <row r="28" spans="1:4" ht="27.6" x14ac:dyDescent="0.25">
      <c r="A28" s="5" t="s">
        <v>475</v>
      </c>
      <c r="B28" s="5" t="s">
        <v>146</v>
      </c>
      <c r="C28" s="4">
        <v>2.2999999999999998</v>
      </c>
      <c r="D28" s="12" t="s">
        <v>520</v>
      </c>
    </row>
    <row r="29" spans="1:4" x14ac:dyDescent="0.25">
      <c r="A29" s="5" t="s">
        <v>476</v>
      </c>
      <c r="B29" s="5" t="s">
        <v>146</v>
      </c>
      <c r="C29" s="4">
        <v>2.2999999999999998</v>
      </c>
      <c r="D29" s="12" t="s">
        <v>521</v>
      </c>
    </row>
    <row r="30" spans="1:4" x14ac:dyDescent="0.25">
      <c r="A30" s="5" t="s">
        <v>477</v>
      </c>
      <c r="B30" s="5" t="s">
        <v>146</v>
      </c>
      <c r="C30" s="4">
        <v>1</v>
      </c>
      <c r="D30" s="12" t="s">
        <v>522</v>
      </c>
    </row>
    <row r="31" spans="1:4" x14ac:dyDescent="0.25">
      <c r="A31" s="5" t="s">
        <v>478</v>
      </c>
      <c r="B31" s="5" t="s">
        <v>146</v>
      </c>
      <c r="C31" s="4">
        <v>1</v>
      </c>
      <c r="D31" s="12" t="s">
        <v>523</v>
      </c>
    </row>
    <row r="32" spans="1:4" ht="41.4" x14ac:dyDescent="0.25">
      <c r="A32" s="5" t="s">
        <v>482</v>
      </c>
      <c r="B32" s="5" t="s">
        <v>479</v>
      </c>
      <c r="C32" s="4">
        <v>1</v>
      </c>
      <c r="D32" s="12" t="s">
        <v>524</v>
      </c>
    </row>
    <row r="33" spans="1:4" ht="27.6" x14ac:dyDescent="0.25">
      <c r="A33" s="5" t="s">
        <v>481</v>
      </c>
      <c r="B33" s="5" t="s">
        <v>479</v>
      </c>
      <c r="C33" s="4">
        <v>1</v>
      </c>
      <c r="D33" s="12" t="s">
        <v>525</v>
      </c>
    </row>
    <row r="34" spans="1:4" ht="27.6" x14ac:dyDescent="0.25">
      <c r="A34" s="5" t="s">
        <v>480</v>
      </c>
      <c r="B34" s="5" t="s">
        <v>479</v>
      </c>
      <c r="C34" s="4" t="s">
        <v>491</v>
      </c>
      <c r="D34" s="12" t="s">
        <v>526</v>
      </c>
    </row>
    <row r="35" spans="1:4" ht="27.6" x14ac:dyDescent="0.25">
      <c r="A35" s="5" t="s">
        <v>483</v>
      </c>
      <c r="B35" s="5" t="s">
        <v>479</v>
      </c>
      <c r="C35" s="4" t="s">
        <v>491</v>
      </c>
      <c r="D35" s="12" t="s">
        <v>527</v>
      </c>
    </row>
    <row r="36" spans="1:4" ht="27.6" x14ac:dyDescent="0.25">
      <c r="A36" s="5" t="s">
        <v>484</v>
      </c>
      <c r="B36" s="5" t="s">
        <v>479</v>
      </c>
      <c r="C36" s="4">
        <v>1</v>
      </c>
      <c r="D36" s="12" t="s">
        <v>528</v>
      </c>
    </row>
    <row r="37" spans="1:4" ht="27.6" x14ac:dyDescent="0.25">
      <c r="A37" s="5" t="s">
        <v>3</v>
      </c>
      <c r="B37" s="5" t="s">
        <v>493</v>
      </c>
      <c r="C37" s="4">
        <v>1</v>
      </c>
      <c r="D37" s="12" t="s">
        <v>529</v>
      </c>
    </row>
    <row r="38" spans="1:4" ht="27.6" x14ac:dyDescent="0.25">
      <c r="A38" s="5" t="s">
        <v>5</v>
      </c>
      <c r="B38" s="5" t="s">
        <v>493</v>
      </c>
      <c r="C38" s="4">
        <v>1</v>
      </c>
      <c r="D38" s="12" t="s">
        <v>530</v>
      </c>
    </row>
    <row r="39" spans="1:4" ht="27.6" x14ac:dyDescent="0.25">
      <c r="A39" s="5" t="s">
        <v>459</v>
      </c>
      <c r="B39" s="5" t="s">
        <v>493</v>
      </c>
      <c r="C39" s="4">
        <v>1</v>
      </c>
      <c r="D39" s="12" t="s">
        <v>531</v>
      </c>
    </row>
    <row r="40" spans="1:4" ht="27.6" x14ac:dyDescent="0.25">
      <c r="A40" s="5" t="s">
        <v>458</v>
      </c>
      <c r="B40" s="5" t="s">
        <v>493</v>
      </c>
      <c r="C40" s="4">
        <v>1</v>
      </c>
      <c r="D40" s="12" t="s">
        <v>532</v>
      </c>
    </row>
    <row r="41" spans="1:4" ht="27.6" x14ac:dyDescent="0.25">
      <c r="A41" s="5" t="s">
        <v>446</v>
      </c>
      <c r="B41" s="5" t="s">
        <v>493</v>
      </c>
      <c r="C41" s="4">
        <v>1</v>
      </c>
      <c r="D41" s="12" t="s">
        <v>533</v>
      </c>
    </row>
    <row r="42" spans="1:4" ht="27.6" x14ac:dyDescent="0.25">
      <c r="A42" s="5" t="s">
        <v>486</v>
      </c>
      <c r="B42" s="5" t="s">
        <v>485</v>
      </c>
      <c r="C42" s="4">
        <v>2.2999999999999998</v>
      </c>
      <c r="D42" s="12" t="s">
        <v>534</v>
      </c>
    </row>
    <row r="43" spans="1:4" ht="27.6" x14ac:dyDescent="0.25">
      <c r="A43" s="5" t="s">
        <v>487</v>
      </c>
      <c r="B43" s="5" t="s">
        <v>485</v>
      </c>
      <c r="C43" s="4">
        <v>2.2999999999999998</v>
      </c>
      <c r="D43" s="12" t="s">
        <v>535</v>
      </c>
    </row>
    <row r="44" spans="1:4" ht="27.6" x14ac:dyDescent="0.25">
      <c r="A44" s="5" t="s">
        <v>488</v>
      </c>
      <c r="B44" s="5" t="s">
        <v>485</v>
      </c>
      <c r="C44" s="4">
        <v>2.2999999999999998</v>
      </c>
      <c r="D44" s="12" t="s">
        <v>536</v>
      </c>
    </row>
  </sheetData>
  <autoFilter ref="A1:D1" xr:uid="{BEE740DA-B477-45BF-81B5-E0EFA8CDE1AC}"/>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2F214-A82C-481F-A2D1-0726174E9268}">
  <sheetPr codeName="Sheet4"/>
  <dimension ref="A1:C19"/>
  <sheetViews>
    <sheetView workbookViewId="0">
      <pane ySplit="1" topLeftCell="A13" activePane="bottomLeft" state="frozen"/>
      <selection pane="bottomLeft" activeCell="C6" sqref="C6"/>
    </sheetView>
  </sheetViews>
  <sheetFormatPr defaultRowHeight="13.8" x14ac:dyDescent="0.25"/>
  <cols>
    <col min="1" max="1" width="17.33203125" style="3" bestFit="1" customWidth="1"/>
    <col min="2" max="2" width="14.77734375" style="3" customWidth="1"/>
    <col min="3" max="3" width="46" style="2" customWidth="1"/>
    <col min="4" max="16384" width="8.88671875" style="8"/>
  </cols>
  <sheetData>
    <row r="1" spans="1:3" x14ac:dyDescent="0.25">
      <c r="A1" s="17" t="s">
        <v>0</v>
      </c>
      <c r="B1" s="17" t="s">
        <v>554</v>
      </c>
      <c r="C1" s="1" t="s">
        <v>1</v>
      </c>
    </row>
    <row r="2" spans="1:3" ht="41.4" x14ac:dyDescent="0.25">
      <c r="A2" s="3" t="s">
        <v>537</v>
      </c>
      <c r="B2" s="3" t="s">
        <v>550</v>
      </c>
      <c r="C2" s="2" t="s">
        <v>556</v>
      </c>
    </row>
    <row r="3" spans="1:3" ht="41.4" x14ac:dyDescent="0.25">
      <c r="A3" s="3" t="s">
        <v>571</v>
      </c>
      <c r="B3" s="3" t="s">
        <v>550</v>
      </c>
      <c r="C3" s="2" t="s">
        <v>575</v>
      </c>
    </row>
    <row r="4" spans="1:3" ht="27.6" x14ac:dyDescent="0.25">
      <c r="A4" s="3" t="s">
        <v>538</v>
      </c>
      <c r="B4" s="3" t="s">
        <v>550</v>
      </c>
      <c r="C4" s="2" t="s">
        <v>557</v>
      </c>
    </row>
    <row r="5" spans="1:3" ht="27.6" x14ac:dyDescent="0.25">
      <c r="A5" s="3" t="s">
        <v>539</v>
      </c>
      <c r="B5" s="3" t="s">
        <v>550</v>
      </c>
      <c r="C5" s="2" t="s">
        <v>558</v>
      </c>
    </row>
    <row r="6" spans="1:3" ht="41.4" x14ac:dyDescent="0.25">
      <c r="A6" s="3" t="s">
        <v>572</v>
      </c>
      <c r="B6" s="3" t="s">
        <v>550</v>
      </c>
      <c r="C6" s="2" t="s">
        <v>574</v>
      </c>
    </row>
    <row r="7" spans="1:3" ht="27.6" x14ac:dyDescent="0.25">
      <c r="A7" s="3" t="s">
        <v>573</v>
      </c>
      <c r="B7" s="3" t="s">
        <v>550</v>
      </c>
      <c r="C7" s="2" t="s">
        <v>576</v>
      </c>
    </row>
    <row r="8" spans="1:3" ht="27.6" x14ac:dyDescent="0.25">
      <c r="A8" s="3" t="s">
        <v>540</v>
      </c>
      <c r="B8" s="3" t="s">
        <v>551</v>
      </c>
      <c r="C8" s="2" t="s">
        <v>559</v>
      </c>
    </row>
    <row r="9" spans="1:3" ht="41.4" x14ac:dyDescent="0.25">
      <c r="A9" s="3" t="s">
        <v>541</v>
      </c>
      <c r="B9" s="3" t="s">
        <v>551</v>
      </c>
      <c r="C9" s="2" t="s">
        <v>560</v>
      </c>
    </row>
    <row r="10" spans="1:3" ht="41.4" x14ac:dyDescent="0.25">
      <c r="A10" s="3" t="s">
        <v>542</v>
      </c>
      <c r="B10" s="3" t="s">
        <v>551</v>
      </c>
      <c r="C10" s="2" t="s">
        <v>561</v>
      </c>
    </row>
    <row r="11" spans="1:3" ht="41.4" x14ac:dyDescent="0.25">
      <c r="A11" s="3" t="s">
        <v>543</v>
      </c>
      <c r="B11" s="3" t="s">
        <v>551</v>
      </c>
      <c r="C11" s="2" t="s">
        <v>562</v>
      </c>
    </row>
    <row r="12" spans="1:3" ht="41.4" x14ac:dyDescent="0.25">
      <c r="A12" s="3" t="s">
        <v>545</v>
      </c>
      <c r="B12" s="3" t="s">
        <v>551</v>
      </c>
      <c r="C12" s="2" t="s">
        <v>563</v>
      </c>
    </row>
    <row r="13" spans="1:3" ht="27.6" x14ac:dyDescent="0.25">
      <c r="A13" s="3" t="s">
        <v>544</v>
      </c>
      <c r="B13" s="3" t="s">
        <v>552</v>
      </c>
      <c r="C13" s="2" t="s">
        <v>564</v>
      </c>
    </row>
    <row r="14" spans="1:3" ht="41.4" x14ac:dyDescent="0.25">
      <c r="A14" s="3" t="s">
        <v>546</v>
      </c>
      <c r="B14" s="3" t="s">
        <v>552</v>
      </c>
      <c r="C14" s="2" t="s">
        <v>565</v>
      </c>
    </row>
    <row r="15" spans="1:3" ht="55.2" x14ac:dyDescent="0.25">
      <c r="A15" s="3" t="s">
        <v>547</v>
      </c>
      <c r="B15" s="3" t="s">
        <v>552</v>
      </c>
      <c r="C15" s="2" t="s">
        <v>566</v>
      </c>
    </row>
    <row r="16" spans="1:3" ht="41.4" x14ac:dyDescent="0.25">
      <c r="A16" s="3" t="s">
        <v>548</v>
      </c>
      <c r="B16" s="3" t="s">
        <v>552</v>
      </c>
      <c r="C16" s="2" t="s">
        <v>567</v>
      </c>
    </row>
    <row r="17" spans="1:3" ht="55.2" x14ac:dyDescent="0.25">
      <c r="A17" s="3" t="s">
        <v>549</v>
      </c>
      <c r="B17" s="3" t="s">
        <v>240</v>
      </c>
      <c r="C17" s="2" t="s">
        <v>568</v>
      </c>
    </row>
    <row r="18" spans="1:3" ht="55.2" x14ac:dyDescent="0.25">
      <c r="A18" s="3" t="s">
        <v>553</v>
      </c>
      <c r="B18" s="3" t="s">
        <v>240</v>
      </c>
      <c r="C18" s="2" t="s">
        <v>569</v>
      </c>
    </row>
    <row r="19" spans="1:3" ht="41.4" x14ac:dyDescent="0.25">
      <c r="A19" s="3" t="s">
        <v>555</v>
      </c>
      <c r="B19" s="3" t="s">
        <v>240</v>
      </c>
      <c r="C19" s="2" t="s">
        <v>570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DB04-9343-4C49-91F5-9D2C45772DD9}">
  <sheetPr codeName="Sheet5" filterMode="1"/>
  <dimension ref="A1:M102"/>
  <sheetViews>
    <sheetView workbookViewId="0">
      <pane ySplit="1" topLeftCell="A2" activePane="bottomLeft" state="frozen"/>
      <selection pane="bottomLeft" activeCell="M103" sqref="M103"/>
    </sheetView>
  </sheetViews>
  <sheetFormatPr defaultRowHeight="13.8" x14ac:dyDescent="0.3"/>
  <cols>
    <col min="1" max="1" width="21.77734375" style="3" bestFit="1" customWidth="1"/>
    <col min="2" max="2" width="9.88671875" style="3" bestFit="1" customWidth="1"/>
    <col min="3" max="3" width="11.88671875" style="3" bestFit="1" customWidth="1"/>
    <col min="4" max="4" width="10.44140625" style="3" bestFit="1" customWidth="1"/>
    <col min="5" max="5" width="7.5546875" style="4" customWidth="1"/>
    <col min="6" max="6" width="7.21875" style="4" customWidth="1"/>
    <col min="7" max="7" width="6.88671875" style="4" customWidth="1"/>
    <col min="8" max="8" width="7.33203125" style="4" customWidth="1"/>
    <col min="9" max="9" width="7.88671875" style="4" customWidth="1"/>
    <col min="10" max="10" width="44.109375" style="2" customWidth="1"/>
    <col min="11" max="11" width="14.44140625" style="2" customWidth="1"/>
    <col min="12" max="12" width="15.21875" style="2" customWidth="1"/>
    <col min="13" max="13" width="31.33203125" style="2" customWidth="1"/>
    <col min="14" max="16384" width="8.88671875" style="3"/>
  </cols>
  <sheetData>
    <row r="1" spans="1:13" s="2" customFormat="1" ht="41.4" x14ac:dyDescent="0.3">
      <c r="A1" s="1" t="s">
        <v>0</v>
      </c>
      <c r="B1" s="1" t="s">
        <v>37</v>
      </c>
      <c r="C1" s="1" t="s">
        <v>2</v>
      </c>
      <c r="D1" s="1" t="s">
        <v>7</v>
      </c>
      <c r="E1" s="1" t="s">
        <v>8</v>
      </c>
      <c r="F1" s="1" t="s">
        <v>9</v>
      </c>
      <c r="G1" s="1" t="s">
        <v>10</v>
      </c>
      <c r="H1" s="1" t="s">
        <v>11</v>
      </c>
      <c r="I1" s="1" t="s">
        <v>12</v>
      </c>
      <c r="J1" s="1" t="s">
        <v>1</v>
      </c>
      <c r="K1" s="1" t="s">
        <v>104</v>
      </c>
      <c r="L1" s="1" t="s">
        <v>53</v>
      </c>
      <c r="M1" s="1" t="s">
        <v>52</v>
      </c>
    </row>
    <row r="2" spans="1:13" ht="41.4" hidden="1" x14ac:dyDescent="0.3">
      <c r="A2" s="3" t="s">
        <v>344</v>
      </c>
      <c r="B2" s="3" t="s">
        <v>184</v>
      </c>
      <c r="C2" s="3" t="s">
        <v>276</v>
      </c>
      <c r="D2" s="3" t="s">
        <v>15</v>
      </c>
      <c r="E2" s="4">
        <v>875</v>
      </c>
      <c r="F2" s="4" t="s">
        <v>218</v>
      </c>
      <c r="G2" s="4">
        <v>1</v>
      </c>
      <c r="H2" s="4">
        <v>5</v>
      </c>
      <c r="I2" s="4">
        <v>40</v>
      </c>
      <c r="J2" s="2" t="s">
        <v>278</v>
      </c>
      <c r="K2" s="2" t="s">
        <v>64</v>
      </c>
      <c r="L2" s="2" t="s">
        <v>277</v>
      </c>
      <c r="M2" s="2" t="s">
        <v>585</v>
      </c>
    </row>
    <row r="3" spans="1:13" ht="55.2" hidden="1" x14ac:dyDescent="0.3">
      <c r="A3" s="3" t="s">
        <v>342</v>
      </c>
      <c r="B3" s="3" t="s">
        <v>184</v>
      </c>
      <c r="C3" s="3" t="s">
        <v>276</v>
      </c>
      <c r="D3" s="3" t="s">
        <v>17</v>
      </c>
      <c r="E3" s="4">
        <v>350</v>
      </c>
      <c r="F3" s="4" t="s">
        <v>218</v>
      </c>
      <c r="G3" s="4">
        <v>1</v>
      </c>
      <c r="H3" s="4">
        <v>6</v>
      </c>
      <c r="I3" s="4">
        <v>40</v>
      </c>
      <c r="J3" s="2" t="s">
        <v>343</v>
      </c>
      <c r="K3" s="2" t="s">
        <v>64</v>
      </c>
      <c r="L3" s="2" t="s">
        <v>277</v>
      </c>
      <c r="M3" s="2" t="s">
        <v>586</v>
      </c>
    </row>
    <row r="4" spans="1:13" ht="41.4" hidden="1" x14ac:dyDescent="0.3">
      <c r="A4" s="3" t="s">
        <v>174</v>
      </c>
      <c r="B4" s="3" t="s">
        <v>184</v>
      </c>
      <c r="C4" s="3" t="s">
        <v>34</v>
      </c>
      <c r="D4" s="3" t="s">
        <v>17</v>
      </c>
      <c r="E4" s="4">
        <v>350</v>
      </c>
      <c r="F4" s="4" t="s">
        <v>27</v>
      </c>
      <c r="G4" s="4">
        <v>4</v>
      </c>
      <c r="H4" s="4">
        <v>23</v>
      </c>
      <c r="I4" s="4">
        <v>60</v>
      </c>
      <c r="J4" s="2" t="s">
        <v>180</v>
      </c>
      <c r="K4" s="2" t="s">
        <v>64</v>
      </c>
      <c r="L4" s="2" t="s">
        <v>56</v>
      </c>
      <c r="M4" s="2" t="s">
        <v>585</v>
      </c>
    </row>
    <row r="5" spans="1:13" ht="41.4" hidden="1" x14ac:dyDescent="0.3">
      <c r="A5" s="3" t="s">
        <v>182</v>
      </c>
      <c r="B5" s="3" t="s">
        <v>184</v>
      </c>
      <c r="C5" s="3" t="s">
        <v>34</v>
      </c>
      <c r="D5" s="3" t="s">
        <v>17</v>
      </c>
      <c r="E5" s="4">
        <v>450</v>
      </c>
      <c r="F5" s="4" t="s">
        <v>178</v>
      </c>
      <c r="G5" s="4" t="s">
        <v>176</v>
      </c>
      <c r="H5" s="4">
        <v>20</v>
      </c>
      <c r="I5" s="4">
        <v>58</v>
      </c>
      <c r="J5" s="2" t="s">
        <v>181</v>
      </c>
      <c r="K5" s="2" t="s">
        <v>64</v>
      </c>
      <c r="L5" s="2" t="s">
        <v>58</v>
      </c>
      <c r="M5" s="2" t="s">
        <v>587</v>
      </c>
    </row>
    <row r="6" spans="1:13" ht="41.4" hidden="1" x14ac:dyDescent="0.3">
      <c r="A6" s="3" t="s">
        <v>259</v>
      </c>
      <c r="B6" s="3" t="s">
        <v>184</v>
      </c>
      <c r="C6" s="3" t="s">
        <v>226</v>
      </c>
      <c r="D6" s="3" t="s">
        <v>17</v>
      </c>
      <c r="E6" s="4">
        <v>275</v>
      </c>
      <c r="F6" s="4" t="s">
        <v>261</v>
      </c>
      <c r="G6" s="4">
        <v>3</v>
      </c>
      <c r="H6" s="4">
        <v>15</v>
      </c>
      <c r="I6" s="4">
        <v>64</v>
      </c>
      <c r="J6" s="2" t="s">
        <v>262</v>
      </c>
      <c r="K6" s="2" t="s">
        <v>185</v>
      </c>
      <c r="L6" s="2" t="s">
        <v>260</v>
      </c>
      <c r="M6" s="2" t="s">
        <v>588</v>
      </c>
    </row>
    <row r="7" spans="1:13" ht="55.2" hidden="1" x14ac:dyDescent="0.3">
      <c r="A7" s="3" t="s">
        <v>263</v>
      </c>
      <c r="B7" s="3" t="s">
        <v>184</v>
      </c>
      <c r="C7" s="3" t="s">
        <v>226</v>
      </c>
      <c r="D7" s="3" t="s">
        <v>17</v>
      </c>
      <c r="E7" s="4">
        <v>210</v>
      </c>
      <c r="F7" s="4" t="s">
        <v>264</v>
      </c>
      <c r="G7" s="4">
        <v>5</v>
      </c>
      <c r="H7" s="4">
        <v>12</v>
      </c>
      <c r="I7" s="4">
        <v>70</v>
      </c>
      <c r="J7" s="2" t="s">
        <v>265</v>
      </c>
      <c r="K7" s="2" t="s">
        <v>129</v>
      </c>
      <c r="L7" s="2" t="s">
        <v>63</v>
      </c>
      <c r="M7" s="2" t="s">
        <v>134</v>
      </c>
    </row>
    <row r="8" spans="1:13" ht="41.4" hidden="1" x14ac:dyDescent="0.3">
      <c r="A8" s="3" t="s">
        <v>290</v>
      </c>
      <c r="B8" s="3" t="s">
        <v>184</v>
      </c>
      <c r="C8" s="3" t="s">
        <v>291</v>
      </c>
      <c r="D8" s="3" t="s">
        <v>15</v>
      </c>
      <c r="E8" s="4">
        <v>850</v>
      </c>
      <c r="F8" s="4" t="s">
        <v>218</v>
      </c>
      <c r="G8" s="4">
        <v>2</v>
      </c>
      <c r="H8" s="4" t="s">
        <v>292</v>
      </c>
      <c r="I8" s="4">
        <v>40</v>
      </c>
      <c r="J8" s="2" t="s">
        <v>293</v>
      </c>
      <c r="K8" s="2" t="s">
        <v>175</v>
      </c>
      <c r="L8" s="2" t="s">
        <v>56</v>
      </c>
      <c r="M8" s="2" t="s">
        <v>134</v>
      </c>
    </row>
    <row r="9" spans="1:13" ht="55.2" hidden="1" x14ac:dyDescent="0.3">
      <c r="A9" s="3" t="s">
        <v>294</v>
      </c>
      <c r="B9" s="3" t="s">
        <v>184</v>
      </c>
      <c r="C9" s="3" t="s">
        <v>291</v>
      </c>
      <c r="D9" s="3" t="s">
        <v>17</v>
      </c>
      <c r="E9" s="4">
        <v>300</v>
      </c>
      <c r="F9" s="4" t="s">
        <v>218</v>
      </c>
      <c r="G9" s="4" t="s">
        <v>209</v>
      </c>
      <c r="H9" s="4">
        <v>2</v>
      </c>
      <c r="I9" s="4">
        <v>10</v>
      </c>
      <c r="J9" s="2" t="s">
        <v>295</v>
      </c>
      <c r="K9" s="2" t="s">
        <v>64</v>
      </c>
      <c r="L9" s="2" t="s">
        <v>61</v>
      </c>
      <c r="M9" s="2" t="s">
        <v>585</v>
      </c>
    </row>
    <row r="10" spans="1:13" ht="41.4" hidden="1" x14ac:dyDescent="0.3">
      <c r="A10" s="3" t="s">
        <v>350</v>
      </c>
      <c r="B10" s="3" t="s">
        <v>184</v>
      </c>
      <c r="C10" s="3" t="s">
        <v>291</v>
      </c>
      <c r="D10" s="3" t="s">
        <v>15</v>
      </c>
      <c r="E10" s="4">
        <v>600</v>
      </c>
      <c r="F10" s="4" t="s">
        <v>27</v>
      </c>
      <c r="G10" s="4">
        <v>5</v>
      </c>
      <c r="H10" s="4">
        <v>9</v>
      </c>
      <c r="I10" s="4">
        <v>55</v>
      </c>
      <c r="J10" s="2" t="s">
        <v>351</v>
      </c>
      <c r="K10" s="2" t="s">
        <v>175</v>
      </c>
      <c r="L10" s="2" t="s">
        <v>56</v>
      </c>
      <c r="M10" s="2" t="s">
        <v>134</v>
      </c>
    </row>
    <row r="11" spans="1:13" ht="27.6" hidden="1" x14ac:dyDescent="0.3">
      <c r="A11" s="3" t="s">
        <v>352</v>
      </c>
      <c r="B11" s="3" t="s">
        <v>184</v>
      </c>
      <c r="C11" s="3" t="s">
        <v>291</v>
      </c>
      <c r="D11" s="3" t="s">
        <v>15</v>
      </c>
      <c r="E11" s="4">
        <v>550</v>
      </c>
      <c r="F11" s="4" t="s">
        <v>354</v>
      </c>
      <c r="G11" s="4" t="s">
        <v>353</v>
      </c>
      <c r="H11" s="4">
        <v>7</v>
      </c>
      <c r="I11" s="4">
        <v>50</v>
      </c>
      <c r="J11" s="2" t="s">
        <v>355</v>
      </c>
      <c r="K11" s="2" t="s">
        <v>54</v>
      </c>
      <c r="L11" s="2" t="s">
        <v>356</v>
      </c>
      <c r="M11" s="2" t="s">
        <v>587</v>
      </c>
    </row>
    <row r="12" spans="1:13" ht="41.4" hidden="1" x14ac:dyDescent="0.3">
      <c r="A12" s="3" t="s">
        <v>357</v>
      </c>
      <c r="B12" s="3" t="s">
        <v>184</v>
      </c>
      <c r="C12" s="3" t="s">
        <v>358</v>
      </c>
      <c r="D12" s="3" t="s">
        <v>15</v>
      </c>
      <c r="E12" s="4">
        <v>650</v>
      </c>
      <c r="F12" s="4" t="s">
        <v>218</v>
      </c>
      <c r="G12" s="4" t="s">
        <v>27</v>
      </c>
      <c r="H12" s="4">
        <v>5</v>
      </c>
      <c r="I12" s="4">
        <v>28</v>
      </c>
      <c r="J12" s="2" t="s">
        <v>360</v>
      </c>
      <c r="K12" s="2" t="s">
        <v>169</v>
      </c>
      <c r="L12" s="2" t="s">
        <v>359</v>
      </c>
      <c r="M12" s="2" t="s">
        <v>579</v>
      </c>
    </row>
    <row r="13" spans="1:13" ht="27.6" hidden="1" x14ac:dyDescent="0.3">
      <c r="A13" s="3" t="s">
        <v>361</v>
      </c>
      <c r="B13" s="3" t="s">
        <v>184</v>
      </c>
      <c r="C13" s="3" t="s">
        <v>362</v>
      </c>
      <c r="D13" s="3" t="s">
        <v>17</v>
      </c>
      <c r="E13" s="4">
        <v>320</v>
      </c>
      <c r="F13" s="4" t="s">
        <v>218</v>
      </c>
      <c r="G13" s="4">
        <v>1</v>
      </c>
      <c r="H13" s="4">
        <v>5</v>
      </c>
      <c r="I13" s="4">
        <v>30</v>
      </c>
      <c r="J13" s="2" t="s">
        <v>363</v>
      </c>
      <c r="K13" s="2" t="s">
        <v>185</v>
      </c>
      <c r="L13" s="2" t="s">
        <v>359</v>
      </c>
      <c r="M13" s="2" t="s">
        <v>586</v>
      </c>
    </row>
    <row r="14" spans="1:13" ht="41.4" hidden="1" x14ac:dyDescent="0.3">
      <c r="A14" s="3" t="s">
        <v>272</v>
      </c>
      <c r="B14" s="3" t="s">
        <v>184</v>
      </c>
      <c r="C14" s="3" t="s">
        <v>273</v>
      </c>
      <c r="D14" s="3" t="s">
        <v>15</v>
      </c>
      <c r="E14" s="4">
        <v>650</v>
      </c>
      <c r="F14" s="4" t="s">
        <v>218</v>
      </c>
      <c r="G14" s="4">
        <v>1</v>
      </c>
      <c r="H14" s="4">
        <v>5</v>
      </c>
      <c r="I14" s="4" t="s">
        <v>274</v>
      </c>
      <c r="J14" s="2" t="s">
        <v>275</v>
      </c>
      <c r="K14" s="2" t="s">
        <v>105</v>
      </c>
      <c r="L14" s="2" t="s">
        <v>249</v>
      </c>
      <c r="M14" s="2" t="s">
        <v>590</v>
      </c>
    </row>
    <row r="15" spans="1:13" ht="27.6" hidden="1" x14ac:dyDescent="0.3">
      <c r="A15" s="3" t="s">
        <v>288</v>
      </c>
      <c r="B15" s="3" t="s">
        <v>184</v>
      </c>
      <c r="C15" s="3" t="s">
        <v>273</v>
      </c>
      <c r="D15" s="3" t="s">
        <v>20</v>
      </c>
      <c r="E15" s="4">
        <v>100</v>
      </c>
      <c r="F15" s="4" t="s">
        <v>218</v>
      </c>
      <c r="G15" s="4" t="s">
        <v>27</v>
      </c>
      <c r="H15" s="4">
        <v>8</v>
      </c>
      <c r="I15" s="4">
        <v>61</v>
      </c>
      <c r="J15" s="2" t="s">
        <v>289</v>
      </c>
      <c r="K15" s="2" t="s">
        <v>105</v>
      </c>
      <c r="L15" s="2" t="s">
        <v>250</v>
      </c>
      <c r="M15" s="2" t="s">
        <v>579</v>
      </c>
    </row>
    <row r="16" spans="1:13" ht="27.6" hidden="1" x14ac:dyDescent="0.3">
      <c r="A16" s="3" t="s">
        <v>286</v>
      </c>
      <c r="B16" s="3" t="s">
        <v>184</v>
      </c>
      <c r="C16" s="3" t="s">
        <v>273</v>
      </c>
      <c r="D16" s="3" t="s">
        <v>17</v>
      </c>
      <c r="E16" s="4">
        <v>251</v>
      </c>
      <c r="F16" s="4" t="s">
        <v>218</v>
      </c>
      <c r="G16" s="4">
        <v>1</v>
      </c>
      <c r="H16" s="4">
        <v>1</v>
      </c>
      <c r="I16" s="4">
        <v>9</v>
      </c>
      <c r="J16" s="2" t="s">
        <v>287</v>
      </c>
      <c r="K16" s="2" t="s">
        <v>185</v>
      </c>
      <c r="L16" s="2" t="s">
        <v>260</v>
      </c>
      <c r="M16" s="2" t="s">
        <v>591</v>
      </c>
    </row>
    <row r="17" spans="1:13" ht="55.2" hidden="1" x14ac:dyDescent="0.3">
      <c r="A17" s="3" t="s">
        <v>345</v>
      </c>
      <c r="B17" s="3" t="s">
        <v>184</v>
      </c>
      <c r="C17" s="3" t="s">
        <v>273</v>
      </c>
      <c r="D17" s="3" t="s">
        <v>20</v>
      </c>
      <c r="E17" s="4">
        <v>111</v>
      </c>
      <c r="F17" s="4" t="s">
        <v>218</v>
      </c>
      <c r="G17" s="4">
        <v>1</v>
      </c>
      <c r="H17" s="4">
        <v>1</v>
      </c>
      <c r="I17" s="4">
        <v>4</v>
      </c>
      <c r="J17" s="2" t="s">
        <v>347</v>
      </c>
      <c r="K17" s="2" t="s">
        <v>346</v>
      </c>
      <c r="L17" s="2" t="s">
        <v>58</v>
      </c>
      <c r="M17" s="2" t="s">
        <v>592</v>
      </c>
    </row>
    <row r="18" spans="1:13" ht="27.6" hidden="1" x14ac:dyDescent="0.3">
      <c r="A18" s="3" t="s">
        <v>348</v>
      </c>
      <c r="B18" s="3" t="s">
        <v>184</v>
      </c>
      <c r="C18" s="3" t="s">
        <v>273</v>
      </c>
      <c r="D18" s="3" t="s">
        <v>17</v>
      </c>
      <c r="E18" s="4">
        <v>300</v>
      </c>
      <c r="F18" s="4">
        <v>1</v>
      </c>
      <c r="G18" s="4" t="s">
        <v>292</v>
      </c>
      <c r="H18" s="4">
        <v>10</v>
      </c>
      <c r="I18" s="4">
        <v>65</v>
      </c>
      <c r="J18" s="2" t="s">
        <v>349</v>
      </c>
      <c r="K18" s="2" t="s">
        <v>175</v>
      </c>
      <c r="L18" s="2" t="s">
        <v>160</v>
      </c>
      <c r="M18" s="2" t="s">
        <v>134</v>
      </c>
    </row>
    <row r="19" spans="1:13" ht="41.4" hidden="1" x14ac:dyDescent="0.3">
      <c r="A19" s="3" t="s">
        <v>422</v>
      </c>
      <c r="B19" s="3" t="s">
        <v>184</v>
      </c>
      <c r="C19" s="3" t="s">
        <v>423</v>
      </c>
      <c r="D19" s="3" t="s">
        <v>15</v>
      </c>
      <c r="E19" s="4">
        <v>630</v>
      </c>
      <c r="F19" s="4" t="s">
        <v>218</v>
      </c>
      <c r="G19" s="4" t="s">
        <v>209</v>
      </c>
      <c r="H19" s="4" t="s">
        <v>264</v>
      </c>
      <c r="I19" s="4">
        <v>8</v>
      </c>
      <c r="J19" s="2" t="s">
        <v>424</v>
      </c>
      <c r="K19" s="2" t="s">
        <v>185</v>
      </c>
      <c r="L19" s="2" t="s">
        <v>260</v>
      </c>
      <c r="M19" s="2" t="s">
        <v>591</v>
      </c>
    </row>
    <row r="20" spans="1:13" ht="41.4" hidden="1" x14ac:dyDescent="0.3">
      <c r="A20" s="3" t="s">
        <v>411</v>
      </c>
      <c r="B20" s="3" t="s">
        <v>184</v>
      </c>
      <c r="C20" s="3" t="s">
        <v>411</v>
      </c>
      <c r="D20" s="3" t="s">
        <v>15</v>
      </c>
      <c r="E20" s="4">
        <v>625</v>
      </c>
      <c r="F20" s="4" t="s">
        <v>264</v>
      </c>
      <c r="G20" s="4">
        <v>20</v>
      </c>
      <c r="H20" s="4">
        <v>90</v>
      </c>
      <c r="I20" s="4">
        <v>180</v>
      </c>
      <c r="J20" s="2" t="s">
        <v>412</v>
      </c>
      <c r="K20" s="2" t="s">
        <v>54</v>
      </c>
      <c r="L20" s="2" t="s">
        <v>389</v>
      </c>
      <c r="M20" s="2" t="s">
        <v>589</v>
      </c>
    </row>
    <row r="21" spans="1:13" ht="41.4" hidden="1" x14ac:dyDescent="0.3">
      <c r="A21" s="3" t="s">
        <v>280</v>
      </c>
      <c r="B21" s="3" t="s">
        <v>184</v>
      </c>
      <c r="C21" s="3" t="s">
        <v>279</v>
      </c>
      <c r="D21" s="3" t="s">
        <v>15</v>
      </c>
      <c r="E21" s="4">
        <v>555</v>
      </c>
      <c r="F21" s="4" t="s">
        <v>218</v>
      </c>
      <c r="G21" s="4">
        <v>1</v>
      </c>
      <c r="H21" s="4">
        <v>7</v>
      </c>
      <c r="I21" s="4">
        <v>25</v>
      </c>
      <c r="J21" s="2" t="s">
        <v>340</v>
      </c>
      <c r="K21" s="2" t="s">
        <v>129</v>
      </c>
      <c r="L21" s="2" t="s">
        <v>58</v>
      </c>
      <c r="M21" s="2" t="s">
        <v>134</v>
      </c>
    </row>
    <row r="22" spans="1:13" ht="41.4" hidden="1" x14ac:dyDescent="0.3">
      <c r="A22" s="3" t="s">
        <v>284</v>
      </c>
      <c r="B22" s="3" t="s">
        <v>184</v>
      </c>
      <c r="C22" s="3" t="s">
        <v>279</v>
      </c>
      <c r="D22" s="3" t="s">
        <v>15</v>
      </c>
      <c r="E22" s="4">
        <v>800</v>
      </c>
      <c r="F22" s="4" t="s">
        <v>218</v>
      </c>
      <c r="G22" s="4">
        <v>1</v>
      </c>
      <c r="H22" s="4">
        <v>4</v>
      </c>
      <c r="I22" s="4">
        <v>27</v>
      </c>
      <c r="J22" s="2" t="s">
        <v>285</v>
      </c>
      <c r="K22" s="2" t="s">
        <v>64</v>
      </c>
      <c r="L22" s="2" t="s">
        <v>56</v>
      </c>
      <c r="M22" s="2" t="s">
        <v>593</v>
      </c>
    </row>
    <row r="23" spans="1:13" ht="27.6" hidden="1" x14ac:dyDescent="0.3">
      <c r="A23" s="3" t="s">
        <v>419</v>
      </c>
      <c r="B23" s="3" t="s">
        <v>184</v>
      </c>
      <c r="C23" s="3" t="s">
        <v>420</v>
      </c>
      <c r="D23" s="3" t="s">
        <v>15</v>
      </c>
      <c r="E23" s="4">
        <v>615</v>
      </c>
      <c r="F23" s="4" t="s">
        <v>32</v>
      </c>
      <c r="G23" s="4">
        <v>8</v>
      </c>
      <c r="H23" s="4">
        <v>30</v>
      </c>
      <c r="I23" s="4">
        <v>100</v>
      </c>
      <c r="J23" s="2" t="s">
        <v>421</v>
      </c>
      <c r="K23" s="2" t="s">
        <v>175</v>
      </c>
      <c r="L23" s="2" t="s">
        <v>63</v>
      </c>
      <c r="M23" s="2" t="s">
        <v>134</v>
      </c>
    </row>
    <row r="24" spans="1:13" ht="41.4" hidden="1" x14ac:dyDescent="0.3">
      <c r="A24" s="3" t="s">
        <v>364</v>
      </c>
      <c r="B24" s="3" t="s">
        <v>184</v>
      </c>
      <c r="C24" s="3" t="s">
        <v>364</v>
      </c>
      <c r="D24" s="3" t="s">
        <v>15</v>
      </c>
      <c r="E24" s="4">
        <v>800</v>
      </c>
      <c r="F24" s="4" t="s">
        <v>218</v>
      </c>
      <c r="G24" s="4" t="s">
        <v>27</v>
      </c>
      <c r="H24" s="4">
        <v>3</v>
      </c>
      <c r="I24" s="4">
        <v>30</v>
      </c>
      <c r="J24" s="2" t="s">
        <v>365</v>
      </c>
      <c r="K24" s="2" t="s">
        <v>64</v>
      </c>
      <c r="L24" s="2" t="s">
        <v>254</v>
      </c>
      <c r="M24" s="2" t="s">
        <v>593</v>
      </c>
    </row>
    <row r="25" spans="1:13" ht="41.4" hidden="1" x14ac:dyDescent="0.3">
      <c r="A25" s="3" t="s">
        <v>413</v>
      </c>
      <c r="B25" s="3" t="s">
        <v>184</v>
      </c>
      <c r="C25" s="3" t="s">
        <v>414</v>
      </c>
      <c r="D25" s="3" t="s">
        <v>15</v>
      </c>
      <c r="E25" s="4">
        <v>585</v>
      </c>
      <c r="F25" s="4" t="s">
        <v>417</v>
      </c>
      <c r="G25" s="4" t="s">
        <v>416</v>
      </c>
      <c r="H25" s="4">
        <v>60</v>
      </c>
      <c r="I25" s="4">
        <v>150</v>
      </c>
      <c r="J25" s="2" t="s">
        <v>418</v>
      </c>
      <c r="K25" s="2" t="s">
        <v>54</v>
      </c>
      <c r="L25" s="2" t="s">
        <v>415</v>
      </c>
      <c r="M25" s="2" t="s">
        <v>587</v>
      </c>
    </row>
    <row r="26" spans="1:13" ht="27.6" x14ac:dyDescent="0.3">
      <c r="A26" s="3" t="s">
        <v>33</v>
      </c>
      <c r="B26" s="3" t="s">
        <v>39</v>
      </c>
      <c r="C26" s="3" t="s">
        <v>34</v>
      </c>
      <c r="D26" s="3" t="s">
        <v>15</v>
      </c>
      <c r="E26" s="4">
        <v>950</v>
      </c>
      <c r="F26" s="4">
        <v>4</v>
      </c>
      <c r="G26" s="4">
        <v>11</v>
      </c>
      <c r="H26" s="4">
        <v>30</v>
      </c>
      <c r="I26" s="4">
        <v>86</v>
      </c>
      <c r="J26" s="2" t="s">
        <v>35</v>
      </c>
      <c r="K26" s="2" t="s">
        <v>64</v>
      </c>
      <c r="L26" s="2" t="s">
        <v>61</v>
      </c>
    </row>
    <row r="27" spans="1:13" ht="41.4" x14ac:dyDescent="0.3">
      <c r="A27" s="3" t="s">
        <v>172</v>
      </c>
      <c r="B27" s="3" t="s">
        <v>39</v>
      </c>
      <c r="C27" s="3" t="s">
        <v>34</v>
      </c>
      <c r="D27" s="3" t="s">
        <v>15</v>
      </c>
      <c r="E27" s="4">
        <v>975</v>
      </c>
      <c r="F27" s="4" t="s">
        <v>177</v>
      </c>
      <c r="G27" s="4">
        <v>2</v>
      </c>
      <c r="H27" s="4">
        <v>5</v>
      </c>
      <c r="I27" s="4">
        <v>4</v>
      </c>
      <c r="J27" s="2" t="s">
        <v>173</v>
      </c>
      <c r="K27" s="2" t="s">
        <v>64</v>
      </c>
      <c r="L27" s="2" t="s">
        <v>63</v>
      </c>
    </row>
    <row r="28" spans="1:13" ht="55.2" x14ac:dyDescent="0.3">
      <c r="A28" s="3" t="s">
        <v>189</v>
      </c>
      <c r="B28" s="3" t="s">
        <v>39</v>
      </c>
      <c r="C28" s="3" t="s">
        <v>34</v>
      </c>
      <c r="D28" s="3" t="s">
        <v>15</v>
      </c>
      <c r="E28" s="4">
        <v>800</v>
      </c>
      <c r="F28" s="4">
        <v>1</v>
      </c>
      <c r="G28" s="4">
        <v>2</v>
      </c>
      <c r="H28" s="4">
        <v>20</v>
      </c>
      <c r="I28" s="4">
        <v>50</v>
      </c>
      <c r="J28" s="2" t="s">
        <v>190</v>
      </c>
      <c r="K28" s="2" t="s">
        <v>175</v>
      </c>
      <c r="L28" s="2" t="s">
        <v>61</v>
      </c>
    </row>
    <row r="29" spans="1:13" ht="41.4" x14ac:dyDescent="0.3">
      <c r="A29" s="3" t="s">
        <v>187</v>
      </c>
      <c r="B29" s="3" t="s">
        <v>39</v>
      </c>
      <c r="C29" s="3" t="s">
        <v>34</v>
      </c>
      <c r="D29" s="3" t="s">
        <v>17</v>
      </c>
      <c r="E29" s="4">
        <v>300</v>
      </c>
      <c r="F29" s="4">
        <v>1</v>
      </c>
      <c r="G29" s="4">
        <v>3</v>
      </c>
      <c r="H29" s="4">
        <v>25</v>
      </c>
      <c r="I29" s="4">
        <v>55</v>
      </c>
      <c r="J29" s="2" t="s">
        <v>188</v>
      </c>
      <c r="K29" s="2" t="s">
        <v>179</v>
      </c>
      <c r="L29" s="2" t="s">
        <v>56</v>
      </c>
    </row>
    <row r="30" spans="1:13" ht="27.6" x14ac:dyDescent="0.3">
      <c r="A30" s="3" t="s">
        <v>13</v>
      </c>
      <c r="B30" s="3" t="s">
        <v>39</v>
      </c>
      <c r="C30" s="3" t="s">
        <v>14</v>
      </c>
      <c r="D30" s="3" t="s">
        <v>15</v>
      </c>
      <c r="E30" s="4">
        <v>1000</v>
      </c>
      <c r="F30" s="4">
        <v>5</v>
      </c>
      <c r="G30" s="4">
        <v>40</v>
      </c>
      <c r="H30" s="4">
        <v>40</v>
      </c>
      <c r="I30" s="4">
        <v>110</v>
      </c>
      <c r="J30" s="2" t="s">
        <v>18</v>
      </c>
      <c r="K30" s="2" t="s">
        <v>64</v>
      </c>
      <c r="L30" s="2" t="s">
        <v>56</v>
      </c>
    </row>
    <row r="31" spans="1:13" ht="41.4" x14ac:dyDescent="0.3">
      <c r="A31" s="3" t="s">
        <v>147</v>
      </c>
      <c r="B31" s="3" t="s">
        <v>39</v>
      </c>
      <c r="C31" s="3" t="s">
        <v>14</v>
      </c>
      <c r="D31" s="3" t="s">
        <v>15</v>
      </c>
      <c r="E31" s="4">
        <v>550</v>
      </c>
      <c r="F31" s="4">
        <v>5</v>
      </c>
      <c r="G31" s="4">
        <v>45</v>
      </c>
      <c r="H31" s="4">
        <v>20</v>
      </c>
      <c r="I31" s="4">
        <v>95</v>
      </c>
      <c r="J31" s="2" t="s">
        <v>148</v>
      </c>
      <c r="K31" s="2" t="s">
        <v>105</v>
      </c>
      <c r="L31" s="2" t="s">
        <v>250</v>
      </c>
    </row>
    <row r="32" spans="1:13" ht="41.4" x14ac:dyDescent="0.3">
      <c r="A32" s="3" t="s">
        <v>153</v>
      </c>
      <c r="B32" s="3" t="s">
        <v>39</v>
      </c>
      <c r="C32" s="3" t="s">
        <v>14</v>
      </c>
      <c r="D32" s="3" t="s">
        <v>15</v>
      </c>
      <c r="E32" s="4">
        <v>700</v>
      </c>
      <c r="F32" s="4">
        <v>2</v>
      </c>
      <c r="G32" s="4">
        <v>5</v>
      </c>
      <c r="H32" s="4">
        <v>20</v>
      </c>
      <c r="I32" s="4">
        <v>74</v>
      </c>
      <c r="J32" s="2" t="s">
        <v>154</v>
      </c>
      <c r="K32" s="2" t="s">
        <v>118</v>
      </c>
      <c r="L32" s="2" t="s">
        <v>59</v>
      </c>
    </row>
    <row r="33" spans="1:12" ht="27.6" x14ac:dyDescent="0.3">
      <c r="A33" s="3" t="s">
        <v>19</v>
      </c>
      <c r="B33" s="3" t="s">
        <v>39</v>
      </c>
      <c r="C33" s="3" t="s">
        <v>14</v>
      </c>
      <c r="D33" s="3" t="s">
        <v>20</v>
      </c>
      <c r="E33" s="4">
        <v>100</v>
      </c>
      <c r="F33" s="4">
        <v>2</v>
      </c>
      <c r="G33" s="4">
        <v>13</v>
      </c>
      <c r="H33" s="4">
        <v>15</v>
      </c>
      <c r="I33" s="4">
        <v>100</v>
      </c>
      <c r="J33" s="2" t="s">
        <v>21</v>
      </c>
      <c r="K33" s="2" t="s">
        <v>105</v>
      </c>
      <c r="L33" s="2" t="s">
        <v>249</v>
      </c>
    </row>
    <row r="34" spans="1:12" ht="55.2" x14ac:dyDescent="0.3">
      <c r="A34" s="3" t="s">
        <v>16</v>
      </c>
      <c r="B34" s="3" t="s">
        <v>39</v>
      </c>
      <c r="C34" s="3" t="s">
        <v>14</v>
      </c>
      <c r="D34" s="3" t="s">
        <v>17</v>
      </c>
      <c r="E34" s="4">
        <v>350</v>
      </c>
      <c r="F34" s="4">
        <v>7</v>
      </c>
      <c r="G34" s="4">
        <v>50</v>
      </c>
      <c r="H34" s="4">
        <v>35</v>
      </c>
      <c r="I34" s="4">
        <v>105</v>
      </c>
      <c r="J34" s="2" t="s">
        <v>320</v>
      </c>
      <c r="K34" s="2" t="s">
        <v>55</v>
      </c>
      <c r="L34" s="2" t="s">
        <v>59</v>
      </c>
    </row>
    <row r="35" spans="1:12" ht="41.4" x14ac:dyDescent="0.3">
      <c r="A35" s="3" t="s">
        <v>149</v>
      </c>
      <c r="B35" s="3" t="s">
        <v>39</v>
      </c>
      <c r="C35" s="3" t="s">
        <v>14</v>
      </c>
      <c r="D35" s="3" t="s">
        <v>17</v>
      </c>
      <c r="E35" s="4">
        <v>300</v>
      </c>
      <c r="F35" s="4">
        <v>6</v>
      </c>
      <c r="G35" s="4">
        <v>35</v>
      </c>
      <c r="H35" s="4">
        <v>60</v>
      </c>
      <c r="I35" s="4">
        <v>100</v>
      </c>
      <c r="J35" s="2" t="s">
        <v>150</v>
      </c>
      <c r="K35" s="2" t="s">
        <v>105</v>
      </c>
      <c r="L35" s="2" t="s">
        <v>252</v>
      </c>
    </row>
    <row r="36" spans="1:12" ht="27.6" x14ac:dyDescent="0.3">
      <c r="A36" s="3" t="s">
        <v>151</v>
      </c>
      <c r="B36" s="3" t="s">
        <v>39</v>
      </c>
      <c r="C36" s="3" t="s">
        <v>14</v>
      </c>
      <c r="D36" s="3" t="s">
        <v>17</v>
      </c>
      <c r="E36" s="4">
        <v>350</v>
      </c>
      <c r="F36" s="4">
        <v>9</v>
      </c>
      <c r="G36" s="4">
        <v>54</v>
      </c>
      <c r="H36" s="4">
        <v>60</v>
      </c>
      <c r="I36" s="4">
        <v>146</v>
      </c>
      <c r="J36" s="2" t="s">
        <v>152</v>
      </c>
      <c r="K36" s="2" t="s">
        <v>105</v>
      </c>
      <c r="L36" s="2" t="s">
        <v>249</v>
      </c>
    </row>
    <row r="37" spans="1:12" ht="41.4" x14ac:dyDescent="0.3">
      <c r="A37" s="3" t="s">
        <v>335</v>
      </c>
      <c r="B37" s="3" t="s">
        <v>39</v>
      </c>
      <c r="C37" s="3" t="s">
        <v>14</v>
      </c>
      <c r="D37" s="3" t="s">
        <v>17</v>
      </c>
      <c r="E37" s="4">
        <v>325</v>
      </c>
      <c r="F37" s="4">
        <v>10</v>
      </c>
      <c r="G37" s="4">
        <v>105</v>
      </c>
      <c r="H37" s="4">
        <v>30</v>
      </c>
      <c r="I37" s="4">
        <v>180</v>
      </c>
      <c r="J37" s="2" t="s">
        <v>155</v>
      </c>
      <c r="K37" s="2" t="s">
        <v>118</v>
      </c>
      <c r="L37" s="2" t="s">
        <v>63</v>
      </c>
    </row>
    <row r="38" spans="1:12" ht="41.4" x14ac:dyDescent="0.3">
      <c r="A38" s="3" t="s">
        <v>156</v>
      </c>
      <c r="B38" s="3" t="s">
        <v>39</v>
      </c>
      <c r="C38" s="3" t="s">
        <v>14</v>
      </c>
      <c r="D38" s="3" t="s">
        <v>17</v>
      </c>
      <c r="E38" s="4">
        <v>220</v>
      </c>
      <c r="F38" s="4">
        <v>2</v>
      </c>
      <c r="G38" s="4">
        <v>5</v>
      </c>
      <c r="H38" s="4">
        <v>10</v>
      </c>
      <c r="I38" s="4">
        <v>35</v>
      </c>
      <c r="J38" s="2" t="s">
        <v>157</v>
      </c>
      <c r="K38" s="2" t="s">
        <v>129</v>
      </c>
      <c r="L38" s="2" t="s">
        <v>56</v>
      </c>
    </row>
    <row r="39" spans="1:12" ht="41.4" x14ac:dyDescent="0.3">
      <c r="A39" s="3" t="s">
        <v>158</v>
      </c>
      <c r="B39" s="3" t="s">
        <v>39</v>
      </c>
      <c r="C39" s="3" t="s">
        <v>14</v>
      </c>
      <c r="D39" s="3" t="s">
        <v>17</v>
      </c>
      <c r="E39" s="4">
        <v>210</v>
      </c>
      <c r="F39" s="4">
        <v>1</v>
      </c>
      <c r="G39" s="4">
        <v>3</v>
      </c>
      <c r="H39" s="4">
        <v>15</v>
      </c>
      <c r="I39" s="4">
        <v>64</v>
      </c>
      <c r="J39" s="2" t="s">
        <v>159</v>
      </c>
      <c r="K39" s="2" t="s">
        <v>129</v>
      </c>
      <c r="L39" s="2" t="s">
        <v>160</v>
      </c>
    </row>
    <row r="40" spans="1:12" ht="27.6" x14ac:dyDescent="0.3">
      <c r="A40" s="3" t="s">
        <v>225</v>
      </c>
      <c r="B40" s="3" t="s">
        <v>39</v>
      </c>
      <c r="C40" s="3" t="s">
        <v>226</v>
      </c>
      <c r="D40" s="3" t="s">
        <v>15</v>
      </c>
      <c r="E40" s="4">
        <v>850</v>
      </c>
      <c r="F40" s="4">
        <v>4</v>
      </c>
      <c r="G40" s="4">
        <v>26</v>
      </c>
      <c r="H40" s="4">
        <v>30</v>
      </c>
      <c r="I40" s="4">
        <v>132</v>
      </c>
      <c r="J40" s="2" t="s">
        <v>227</v>
      </c>
      <c r="K40" s="2" t="s">
        <v>64</v>
      </c>
      <c r="L40" s="2" t="s">
        <v>57</v>
      </c>
    </row>
    <row r="41" spans="1:12" ht="41.4" x14ac:dyDescent="0.3">
      <c r="A41" s="3" t="s">
        <v>253</v>
      </c>
      <c r="B41" s="3" t="s">
        <v>39</v>
      </c>
      <c r="C41" s="3" t="s">
        <v>226</v>
      </c>
      <c r="D41" s="3" t="s">
        <v>20</v>
      </c>
      <c r="E41" s="4">
        <v>100</v>
      </c>
      <c r="F41" s="4">
        <v>40</v>
      </c>
      <c r="G41" s="4">
        <v>300</v>
      </c>
      <c r="H41" s="4">
        <v>30</v>
      </c>
      <c r="I41" s="4">
        <v>270</v>
      </c>
      <c r="J41" s="2" t="s">
        <v>255</v>
      </c>
      <c r="K41" s="2" t="s">
        <v>54</v>
      </c>
      <c r="L41" s="2" t="s">
        <v>254</v>
      </c>
    </row>
    <row r="42" spans="1:12" ht="41.4" x14ac:dyDescent="0.3">
      <c r="A42" s="3" t="s">
        <v>228</v>
      </c>
      <c r="B42" s="3" t="s">
        <v>39</v>
      </c>
      <c r="C42" s="3" t="s">
        <v>226</v>
      </c>
      <c r="D42" s="3" t="s">
        <v>17</v>
      </c>
      <c r="E42" s="4">
        <v>201</v>
      </c>
      <c r="F42" s="4">
        <v>9</v>
      </c>
      <c r="G42" s="4">
        <v>65</v>
      </c>
      <c r="H42" s="4">
        <v>31</v>
      </c>
      <c r="I42" s="4">
        <v>180</v>
      </c>
      <c r="J42" s="2" t="s">
        <v>244</v>
      </c>
      <c r="K42" s="2" t="s">
        <v>206</v>
      </c>
      <c r="L42" s="2" t="s">
        <v>60</v>
      </c>
    </row>
    <row r="43" spans="1:12" ht="27.6" x14ac:dyDescent="0.3">
      <c r="A43" s="3" t="s">
        <v>245</v>
      </c>
      <c r="B43" s="3" t="s">
        <v>39</v>
      </c>
      <c r="C43" s="3" t="s">
        <v>226</v>
      </c>
      <c r="D43" s="3" t="s">
        <v>17</v>
      </c>
      <c r="E43" s="4">
        <v>400</v>
      </c>
      <c r="F43" s="4" t="s">
        <v>246</v>
      </c>
      <c r="G43" s="4">
        <v>56</v>
      </c>
      <c r="H43" s="4">
        <v>32</v>
      </c>
      <c r="I43" s="4">
        <v>175</v>
      </c>
      <c r="J43" s="2" t="s">
        <v>257</v>
      </c>
      <c r="K43" s="2" t="s">
        <v>169</v>
      </c>
      <c r="L43" s="2" t="s">
        <v>63</v>
      </c>
    </row>
    <row r="44" spans="1:12" ht="41.4" x14ac:dyDescent="0.3">
      <c r="A44" s="3" t="s">
        <v>247</v>
      </c>
      <c r="B44" s="3" t="s">
        <v>39</v>
      </c>
      <c r="C44" s="3" t="s">
        <v>226</v>
      </c>
      <c r="D44" s="3" t="s">
        <v>17</v>
      </c>
      <c r="E44" s="4">
        <v>390</v>
      </c>
      <c r="F44" s="4" t="s">
        <v>248</v>
      </c>
      <c r="G44" s="4">
        <v>30</v>
      </c>
      <c r="H44" s="4">
        <v>25</v>
      </c>
      <c r="I44" s="4">
        <v>100</v>
      </c>
      <c r="J44" s="2" t="s">
        <v>251</v>
      </c>
      <c r="K44" s="2" t="s">
        <v>105</v>
      </c>
      <c r="L44" s="2" t="s">
        <v>250</v>
      </c>
    </row>
    <row r="45" spans="1:12" ht="41.4" x14ac:dyDescent="0.3">
      <c r="A45" s="3" t="s">
        <v>256</v>
      </c>
      <c r="B45" s="3" t="s">
        <v>39</v>
      </c>
      <c r="C45" s="3" t="s">
        <v>226</v>
      </c>
      <c r="D45" s="3" t="s">
        <v>17</v>
      </c>
      <c r="E45" s="4">
        <v>250</v>
      </c>
      <c r="F45" s="4">
        <v>20</v>
      </c>
      <c r="G45" s="4">
        <v>80</v>
      </c>
      <c r="H45" s="4">
        <v>23</v>
      </c>
      <c r="I45" s="4">
        <v>180</v>
      </c>
      <c r="J45" s="2" t="s">
        <v>258</v>
      </c>
      <c r="K45" s="2" t="s">
        <v>118</v>
      </c>
      <c r="L45" s="2" t="s">
        <v>60</v>
      </c>
    </row>
    <row r="46" spans="1:12" ht="55.2" x14ac:dyDescent="0.3">
      <c r="A46" s="3" t="s">
        <v>281</v>
      </c>
      <c r="B46" s="3" t="s">
        <v>39</v>
      </c>
      <c r="C46" s="3" t="s">
        <v>282</v>
      </c>
      <c r="D46" s="3" t="s">
        <v>17</v>
      </c>
      <c r="E46" s="4">
        <v>300</v>
      </c>
      <c r="F46" s="4">
        <v>5</v>
      </c>
      <c r="G46" s="4">
        <v>150</v>
      </c>
      <c r="H46" s="4">
        <v>75</v>
      </c>
      <c r="I46" s="4">
        <v>250</v>
      </c>
      <c r="J46" s="2" t="s">
        <v>283</v>
      </c>
      <c r="K46" s="2" t="s">
        <v>179</v>
      </c>
      <c r="L46" s="2" t="s">
        <v>63</v>
      </c>
    </row>
    <row r="47" spans="1:12" ht="41.4" x14ac:dyDescent="0.3">
      <c r="A47" s="3" t="s">
        <v>396</v>
      </c>
      <c r="B47" s="3" t="s">
        <v>39</v>
      </c>
      <c r="C47" s="3" t="s">
        <v>397</v>
      </c>
      <c r="D47" s="3" t="s">
        <v>15</v>
      </c>
      <c r="E47" s="4">
        <v>625</v>
      </c>
      <c r="F47" s="4" t="s">
        <v>264</v>
      </c>
      <c r="G47" s="4">
        <v>9</v>
      </c>
      <c r="H47" s="4" t="s">
        <v>399</v>
      </c>
      <c r="I47" s="4">
        <v>80</v>
      </c>
      <c r="J47" s="2" t="s">
        <v>398</v>
      </c>
      <c r="K47" s="2" t="s">
        <v>64</v>
      </c>
      <c r="L47" s="2" t="s">
        <v>389</v>
      </c>
    </row>
    <row r="48" spans="1:12" ht="55.2" x14ac:dyDescent="0.3">
      <c r="A48" s="3" t="s">
        <v>400</v>
      </c>
      <c r="B48" s="3" t="s">
        <v>39</v>
      </c>
      <c r="C48" s="3" t="s">
        <v>397</v>
      </c>
      <c r="D48" s="3" t="s">
        <v>15</v>
      </c>
      <c r="E48" s="4">
        <v>660</v>
      </c>
      <c r="F48" s="4" t="s">
        <v>205</v>
      </c>
      <c r="G48" s="4">
        <v>4</v>
      </c>
      <c r="H48" s="4" t="s">
        <v>401</v>
      </c>
      <c r="I48" s="4">
        <v>56</v>
      </c>
      <c r="J48" s="2" t="s">
        <v>402</v>
      </c>
      <c r="K48" s="2" t="s">
        <v>175</v>
      </c>
      <c r="L48" s="2" t="s">
        <v>160</v>
      </c>
    </row>
    <row r="49" spans="1:12" ht="55.2" x14ac:dyDescent="0.3">
      <c r="A49" s="3" t="s">
        <v>403</v>
      </c>
      <c r="B49" s="3" t="s">
        <v>39</v>
      </c>
      <c r="C49" s="3" t="s">
        <v>397</v>
      </c>
      <c r="D49" s="3" t="s">
        <v>15</v>
      </c>
      <c r="E49" s="4">
        <v>425</v>
      </c>
      <c r="F49" s="4" t="s">
        <v>27</v>
      </c>
      <c r="G49" s="4">
        <v>2</v>
      </c>
      <c r="H49" s="4" t="s">
        <v>404</v>
      </c>
      <c r="I49" s="4">
        <v>50</v>
      </c>
      <c r="J49" s="2" t="s">
        <v>405</v>
      </c>
      <c r="K49" s="2" t="s">
        <v>206</v>
      </c>
      <c r="L49" s="2" t="s">
        <v>56</v>
      </c>
    </row>
    <row r="50" spans="1:12" ht="55.2" x14ac:dyDescent="0.3">
      <c r="A50" s="3" t="s">
        <v>406</v>
      </c>
      <c r="B50" s="3" t="s">
        <v>39</v>
      </c>
      <c r="C50" s="3" t="s">
        <v>397</v>
      </c>
      <c r="D50" s="3" t="s">
        <v>17</v>
      </c>
      <c r="E50" s="4">
        <v>275</v>
      </c>
      <c r="F50" s="4" t="s">
        <v>264</v>
      </c>
      <c r="G50" s="4">
        <v>15</v>
      </c>
      <c r="H50" s="4">
        <v>25</v>
      </c>
      <c r="I50" s="4">
        <v>100</v>
      </c>
      <c r="J50" s="2" t="s">
        <v>407</v>
      </c>
      <c r="K50" s="2" t="s">
        <v>169</v>
      </c>
      <c r="L50" s="2" t="s">
        <v>359</v>
      </c>
    </row>
    <row r="51" spans="1:12" ht="41.4" x14ac:dyDescent="0.3">
      <c r="A51" s="3" t="s">
        <v>408</v>
      </c>
      <c r="B51" s="3" t="s">
        <v>39</v>
      </c>
      <c r="C51" s="3" t="s">
        <v>397</v>
      </c>
      <c r="D51" s="3" t="s">
        <v>17</v>
      </c>
      <c r="E51" s="4">
        <v>300</v>
      </c>
      <c r="F51" s="4" t="s">
        <v>218</v>
      </c>
      <c r="G51" s="4" t="s">
        <v>202</v>
      </c>
      <c r="H51" s="4" t="s">
        <v>409</v>
      </c>
      <c r="I51" s="4">
        <v>25</v>
      </c>
      <c r="J51" s="2" t="s">
        <v>410</v>
      </c>
      <c r="K51" s="2" t="s">
        <v>118</v>
      </c>
      <c r="L51" s="2" t="s">
        <v>298</v>
      </c>
    </row>
    <row r="52" spans="1:12" ht="55.2" x14ac:dyDescent="0.3">
      <c r="A52" s="3" t="s">
        <v>385</v>
      </c>
      <c r="B52" s="3" t="s">
        <v>39</v>
      </c>
      <c r="C52" s="3" t="s">
        <v>386</v>
      </c>
      <c r="D52" s="3" t="s">
        <v>15</v>
      </c>
      <c r="E52" s="4">
        <v>825</v>
      </c>
      <c r="F52" s="4">
        <v>10</v>
      </c>
      <c r="G52" s="4">
        <v>30</v>
      </c>
      <c r="H52" s="4">
        <v>30</v>
      </c>
      <c r="I52" s="4">
        <v>150</v>
      </c>
      <c r="J52" s="2" t="s">
        <v>387</v>
      </c>
      <c r="K52" s="2" t="s">
        <v>64</v>
      </c>
      <c r="L52" s="2" t="s">
        <v>254</v>
      </c>
    </row>
    <row r="53" spans="1:12" ht="41.4" x14ac:dyDescent="0.3">
      <c r="A53" s="3" t="s">
        <v>388</v>
      </c>
      <c r="B53" s="3" t="s">
        <v>39</v>
      </c>
      <c r="C53" s="3" t="s">
        <v>386</v>
      </c>
      <c r="D53" s="3" t="s">
        <v>15</v>
      </c>
      <c r="E53" s="4">
        <v>725</v>
      </c>
      <c r="F53" s="4" t="s">
        <v>264</v>
      </c>
      <c r="G53" s="4" t="s">
        <v>176</v>
      </c>
      <c r="H53" s="4">
        <v>40</v>
      </c>
      <c r="I53" s="4">
        <v>79</v>
      </c>
      <c r="J53" s="2" t="s">
        <v>390</v>
      </c>
      <c r="K53" s="2" t="s">
        <v>64</v>
      </c>
      <c r="L53" s="2" t="s">
        <v>389</v>
      </c>
    </row>
    <row r="54" spans="1:12" ht="41.4" x14ac:dyDescent="0.3">
      <c r="A54" s="3" t="s">
        <v>391</v>
      </c>
      <c r="B54" s="3" t="s">
        <v>39</v>
      </c>
      <c r="C54" s="3" t="s">
        <v>386</v>
      </c>
      <c r="D54" s="3" t="s">
        <v>15</v>
      </c>
      <c r="E54" s="4">
        <v>500</v>
      </c>
      <c r="F54" s="4">
        <v>5</v>
      </c>
      <c r="G54" s="4">
        <v>32</v>
      </c>
      <c r="H54" s="4">
        <v>45</v>
      </c>
      <c r="I54" s="4">
        <v>180</v>
      </c>
      <c r="J54" s="2" t="s">
        <v>392</v>
      </c>
      <c r="K54" s="2" t="s">
        <v>175</v>
      </c>
      <c r="L54" s="2" t="s">
        <v>58</v>
      </c>
    </row>
    <row r="55" spans="1:12" ht="41.4" x14ac:dyDescent="0.3">
      <c r="A55" s="3" t="s">
        <v>393</v>
      </c>
      <c r="B55" s="3" t="s">
        <v>39</v>
      </c>
      <c r="C55" s="3" t="s">
        <v>386</v>
      </c>
      <c r="D55" s="3" t="s">
        <v>17</v>
      </c>
      <c r="E55" s="4">
        <v>250</v>
      </c>
      <c r="F55" s="4" t="s">
        <v>209</v>
      </c>
      <c r="G55" s="4" t="s">
        <v>28</v>
      </c>
      <c r="H55" s="4">
        <v>3</v>
      </c>
      <c r="I55" s="4">
        <v>31</v>
      </c>
      <c r="J55" s="2" t="s">
        <v>395</v>
      </c>
      <c r="K55" s="2" t="s">
        <v>54</v>
      </c>
      <c r="L55" s="2" t="s">
        <v>394</v>
      </c>
    </row>
    <row r="56" spans="1:12" ht="27.6" x14ac:dyDescent="0.3">
      <c r="A56" s="3" t="s">
        <v>36</v>
      </c>
      <c r="B56" s="3" t="s">
        <v>39</v>
      </c>
      <c r="C56" s="3" t="s">
        <v>171</v>
      </c>
      <c r="D56" s="3" t="s">
        <v>15</v>
      </c>
      <c r="E56" s="4">
        <v>650</v>
      </c>
      <c r="F56" s="4" t="s">
        <v>27</v>
      </c>
      <c r="G56" s="4">
        <v>2</v>
      </c>
      <c r="H56" s="4">
        <v>15</v>
      </c>
      <c r="I56" s="4">
        <v>39</v>
      </c>
      <c r="J56" s="2" t="s">
        <v>38</v>
      </c>
      <c r="K56" s="2" t="s">
        <v>54</v>
      </c>
      <c r="L56" s="2" t="s">
        <v>61</v>
      </c>
    </row>
    <row r="57" spans="1:12" ht="41.4" x14ac:dyDescent="0.3">
      <c r="A57" s="3" t="s">
        <v>198</v>
      </c>
      <c r="B57" s="3" t="s">
        <v>39</v>
      </c>
      <c r="C57" s="3" t="s">
        <v>171</v>
      </c>
      <c r="D57" s="3" t="s">
        <v>15</v>
      </c>
      <c r="E57" s="4">
        <v>660</v>
      </c>
      <c r="F57" s="4" t="s">
        <v>199</v>
      </c>
      <c r="G57" s="4">
        <v>1</v>
      </c>
      <c r="H57" s="4">
        <v>10</v>
      </c>
      <c r="I57" s="4">
        <v>28</v>
      </c>
      <c r="J57" s="2" t="s">
        <v>200</v>
      </c>
      <c r="K57" s="2" t="s">
        <v>175</v>
      </c>
      <c r="L57" s="2" t="s">
        <v>63</v>
      </c>
    </row>
    <row r="58" spans="1:12" ht="27.6" x14ac:dyDescent="0.3">
      <c r="A58" s="3" t="s">
        <v>204</v>
      </c>
      <c r="B58" s="3" t="s">
        <v>39</v>
      </c>
      <c r="C58" s="3" t="s">
        <v>171</v>
      </c>
      <c r="D58" s="3" t="s">
        <v>15</v>
      </c>
      <c r="E58" s="4">
        <v>670</v>
      </c>
      <c r="F58" s="4" t="s">
        <v>202</v>
      </c>
      <c r="G58" s="4" t="s">
        <v>205</v>
      </c>
      <c r="H58" s="4">
        <v>7</v>
      </c>
      <c r="I58" s="4">
        <v>30</v>
      </c>
      <c r="J58" s="2" t="s">
        <v>207</v>
      </c>
      <c r="K58" s="2" t="s">
        <v>206</v>
      </c>
      <c r="L58" s="2" t="s">
        <v>63</v>
      </c>
    </row>
    <row r="59" spans="1:12" ht="27.6" x14ac:dyDescent="0.3">
      <c r="A59" s="3" t="s">
        <v>223</v>
      </c>
      <c r="B59" s="3" t="s">
        <v>39</v>
      </c>
      <c r="C59" s="3" t="s">
        <v>171</v>
      </c>
      <c r="D59" s="3" t="s">
        <v>20</v>
      </c>
      <c r="E59" s="4">
        <v>125</v>
      </c>
      <c r="F59" s="4" t="s">
        <v>218</v>
      </c>
      <c r="G59" s="4" t="s">
        <v>27</v>
      </c>
      <c r="H59" s="4">
        <v>5</v>
      </c>
      <c r="I59" s="4">
        <v>8</v>
      </c>
      <c r="J59" s="2" t="s">
        <v>224</v>
      </c>
      <c r="K59" s="2" t="s">
        <v>118</v>
      </c>
      <c r="L59" s="2" t="s">
        <v>57</v>
      </c>
    </row>
    <row r="60" spans="1:12" ht="55.2" x14ac:dyDescent="0.3">
      <c r="A60" s="3" t="s">
        <v>201</v>
      </c>
      <c r="B60" s="3" t="s">
        <v>39</v>
      </c>
      <c r="C60" s="3" t="s">
        <v>171</v>
      </c>
      <c r="D60" s="3" t="s">
        <v>17</v>
      </c>
      <c r="E60" s="4">
        <v>300</v>
      </c>
      <c r="F60" s="4" t="s">
        <v>202</v>
      </c>
      <c r="G60" s="4" t="s">
        <v>28</v>
      </c>
      <c r="H60" s="4">
        <v>20</v>
      </c>
      <c r="I60" s="4">
        <v>44</v>
      </c>
      <c r="J60" s="2" t="s">
        <v>203</v>
      </c>
      <c r="K60" s="2" t="s">
        <v>169</v>
      </c>
      <c r="L60" s="2" t="s">
        <v>56</v>
      </c>
    </row>
    <row r="61" spans="1:12" ht="27.6" x14ac:dyDescent="0.3">
      <c r="A61" s="3" t="s">
        <v>208</v>
      </c>
      <c r="B61" s="3" t="s">
        <v>39</v>
      </c>
      <c r="C61" s="3" t="s">
        <v>171</v>
      </c>
      <c r="D61" s="3" t="s">
        <v>17</v>
      </c>
      <c r="E61" s="4">
        <v>375</v>
      </c>
      <c r="F61" s="4" t="s">
        <v>209</v>
      </c>
      <c r="G61" s="4" t="s">
        <v>32</v>
      </c>
      <c r="H61" s="4">
        <v>10</v>
      </c>
      <c r="I61" s="4">
        <v>30</v>
      </c>
      <c r="J61" s="2" t="s">
        <v>210</v>
      </c>
      <c r="K61" s="2" t="s">
        <v>175</v>
      </c>
      <c r="L61" s="2" t="s">
        <v>62</v>
      </c>
    </row>
    <row r="62" spans="1:12" ht="41.4" x14ac:dyDescent="0.3">
      <c r="A62" s="5" t="s">
        <v>211</v>
      </c>
      <c r="B62" s="3" t="s">
        <v>39</v>
      </c>
      <c r="C62" s="3" t="s">
        <v>171</v>
      </c>
      <c r="D62" s="3" t="s">
        <v>17</v>
      </c>
      <c r="E62" s="4">
        <v>425</v>
      </c>
      <c r="F62" s="4" t="s">
        <v>202</v>
      </c>
      <c r="G62" s="4" t="s">
        <v>212</v>
      </c>
      <c r="H62" s="4">
        <v>10</v>
      </c>
      <c r="I62" s="4">
        <v>30</v>
      </c>
      <c r="J62" s="2" t="s">
        <v>214</v>
      </c>
      <c r="K62" s="2" t="s">
        <v>54</v>
      </c>
      <c r="L62" s="2" t="s">
        <v>213</v>
      </c>
    </row>
    <row r="63" spans="1:12" ht="41.4" x14ac:dyDescent="0.3">
      <c r="A63" s="5" t="s">
        <v>215</v>
      </c>
      <c r="B63" s="3" t="s">
        <v>39</v>
      </c>
      <c r="C63" s="3" t="s">
        <v>171</v>
      </c>
      <c r="D63" s="3" t="s">
        <v>17</v>
      </c>
      <c r="E63" s="4">
        <v>450</v>
      </c>
      <c r="F63" s="4" t="s">
        <v>202</v>
      </c>
      <c r="G63" s="4" t="s">
        <v>212</v>
      </c>
      <c r="H63" s="4">
        <v>9</v>
      </c>
      <c r="I63" s="4">
        <v>24</v>
      </c>
      <c r="J63" s="2" t="s">
        <v>216</v>
      </c>
      <c r="K63" s="2" t="s">
        <v>169</v>
      </c>
      <c r="L63" s="2" t="s">
        <v>63</v>
      </c>
    </row>
    <row r="64" spans="1:12" ht="41.4" x14ac:dyDescent="0.3">
      <c r="A64" s="3" t="s">
        <v>217</v>
      </c>
      <c r="B64" s="3" t="s">
        <v>39</v>
      </c>
      <c r="C64" s="3" t="s">
        <v>171</v>
      </c>
      <c r="D64" s="3" t="s">
        <v>17</v>
      </c>
      <c r="E64" s="4">
        <v>375</v>
      </c>
      <c r="F64" s="4" t="s">
        <v>218</v>
      </c>
      <c r="G64" s="4" t="s">
        <v>219</v>
      </c>
      <c r="H64" s="4">
        <v>8</v>
      </c>
      <c r="I64" s="4">
        <v>15</v>
      </c>
      <c r="J64" s="2" t="s">
        <v>220</v>
      </c>
      <c r="K64" s="2" t="s">
        <v>179</v>
      </c>
      <c r="L64" s="2" t="s">
        <v>56</v>
      </c>
    </row>
    <row r="65" spans="1:13" ht="41.4" x14ac:dyDescent="0.3">
      <c r="A65" s="3" t="s">
        <v>221</v>
      </c>
      <c r="B65" s="3" t="s">
        <v>39</v>
      </c>
      <c r="C65" s="3" t="s">
        <v>171</v>
      </c>
      <c r="D65" s="3" t="s">
        <v>17</v>
      </c>
      <c r="E65" s="4">
        <v>230</v>
      </c>
      <c r="F65" s="4" t="s">
        <v>218</v>
      </c>
      <c r="G65" s="4" t="s">
        <v>27</v>
      </c>
      <c r="H65" s="4">
        <v>8</v>
      </c>
      <c r="I65" s="4">
        <v>15</v>
      </c>
      <c r="J65" s="2" t="s">
        <v>222</v>
      </c>
      <c r="K65" s="2" t="s">
        <v>64</v>
      </c>
      <c r="L65" s="2" t="s">
        <v>56</v>
      </c>
    </row>
    <row r="66" spans="1:13" ht="27.6" x14ac:dyDescent="0.3">
      <c r="A66" s="3" t="s">
        <v>26</v>
      </c>
      <c r="B66" s="3" t="s">
        <v>39</v>
      </c>
      <c r="C66" s="3" t="s">
        <v>23</v>
      </c>
      <c r="D66" s="3" t="s">
        <v>15</v>
      </c>
      <c r="E66" s="4">
        <v>900</v>
      </c>
      <c r="F66" s="4">
        <v>3</v>
      </c>
      <c r="G66" s="4">
        <v>14</v>
      </c>
      <c r="H66" s="4">
        <v>20</v>
      </c>
      <c r="I66" s="4">
        <v>76</v>
      </c>
      <c r="J66" s="2" t="s">
        <v>29</v>
      </c>
      <c r="K66" s="2" t="s">
        <v>64</v>
      </c>
      <c r="L66" s="2" t="s">
        <v>56</v>
      </c>
    </row>
    <row r="67" spans="1:13" ht="27.6" x14ac:dyDescent="0.3">
      <c r="A67" s="3" t="s">
        <v>336</v>
      </c>
      <c r="B67" s="3" t="s">
        <v>39</v>
      </c>
      <c r="C67" s="3" t="s">
        <v>23</v>
      </c>
      <c r="D67" s="3" t="s">
        <v>15</v>
      </c>
      <c r="E67" s="4">
        <v>750</v>
      </c>
      <c r="F67" s="4">
        <v>1</v>
      </c>
      <c r="G67" s="4">
        <v>2</v>
      </c>
      <c r="H67" s="4">
        <v>17</v>
      </c>
      <c r="I67" s="4">
        <v>55</v>
      </c>
      <c r="J67" s="2" t="s">
        <v>339</v>
      </c>
      <c r="K67" s="2" t="s">
        <v>129</v>
      </c>
      <c r="L67" s="2" t="s">
        <v>63</v>
      </c>
    </row>
    <row r="68" spans="1:13" ht="27.6" x14ac:dyDescent="0.3">
      <c r="A68" s="3" t="s">
        <v>168</v>
      </c>
      <c r="B68" s="3" t="s">
        <v>39</v>
      </c>
      <c r="C68" s="3" t="s">
        <v>23</v>
      </c>
      <c r="D68" s="3" t="s">
        <v>15</v>
      </c>
      <c r="E68" s="4">
        <v>975</v>
      </c>
      <c r="F68" s="4">
        <v>3</v>
      </c>
      <c r="G68" s="4">
        <v>46</v>
      </c>
      <c r="H68" s="4">
        <v>25</v>
      </c>
      <c r="I68" s="4">
        <v>130</v>
      </c>
      <c r="J68" s="2" t="s">
        <v>170</v>
      </c>
      <c r="K68" s="2" t="s">
        <v>64</v>
      </c>
      <c r="L68" s="2" t="s">
        <v>56</v>
      </c>
    </row>
    <row r="69" spans="1:13" ht="41.4" x14ac:dyDescent="0.3">
      <c r="A69" s="3" t="s">
        <v>30</v>
      </c>
      <c r="B69" s="3" t="s">
        <v>39</v>
      </c>
      <c r="C69" s="3" t="s">
        <v>23</v>
      </c>
      <c r="D69" s="3" t="s">
        <v>20</v>
      </c>
      <c r="E69" s="4">
        <v>85</v>
      </c>
      <c r="F69" s="4" t="s">
        <v>28</v>
      </c>
      <c r="G69" s="4">
        <v>3</v>
      </c>
      <c r="H69" s="4">
        <v>10</v>
      </c>
      <c r="I69" s="4">
        <v>30</v>
      </c>
      <c r="J69" s="2" t="s">
        <v>31</v>
      </c>
      <c r="K69" s="2" t="s">
        <v>55</v>
      </c>
      <c r="L69" s="2" t="s">
        <v>63</v>
      </c>
    </row>
    <row r="70" spans="1:13" ht="41.4" x14ac:dyDescent="0.3">
      <c r="A70" s="3" t="s">
        <v>333</v>
      </c>
      <c r="B70" s="3" t="s">
        <v>39</v>
      </c>
      <c r="C70" s="3" t="s">
        <v>23</v>
      </c>
      <c r="D70" s="3" t="s">
        <v>20</v>
      </c>
      <c r="E70" s="4">
        <v>75</v>
      </c>
      <c r="F70" s="4" t="s">
        <v>27</v>
      </c>
      <c r="G70" s="4" t="s">
        <v>32</v>
      </c>
      <c r="H70" s="4">
        <v>15</v>
      </c>
      <c r="I70" s="4">
        <v>46</v>
      </c>
      <c r="J70" s="2" t="s">
        <v>334</v>
      </c>
      <c r="K70" s="2" t="s">
        <v>55</v>
      </c>
      <c r="L70" s="2" t="s">
        <v>60</v>
      </c>
    </row>
    <row r="71" spans="1:13" ht="27.6" x14ac:dyDescent="0.3">
      <c r="A71" s="3" t="s">
        <v>163</v>
      </c>
      <c r="B71" s="3" t="s">
        <v>39</v>
      </c>
      <c r="C71" s="3" t="s">
        <v>23</v>
      </c>
      <c r="D71" s="3" t="s">
        <v>20</v>
      </c>
      <c r="E71" s="4">
        <v>100</v>
      </c>
      <c r="F71" s="4">
        <v>1</v>
      </c>
      <c r="G71" s="4">
        <v>5</v>
      </c>
      <c r="H71" s="4">
        <v>15</v>
      </c>
      <c r="I71" s="4">
        <v>30</v>
      </c>
      <c r="J71" s="2" t="s">
        <v>166</v>
      </c>
      <c r="K71" s="2" t="s">
        <v>118</v>
      </c>
      <c r="L71" s="2" t="s">
        <v>61</v>
      </c>
    </row>
    <row r="72" spans="1:13" ht="27.6" x14ac:dyDescent="0.3">
      <c r="A72" s="3" t="s">
        <v>22</v>
      </c>
      <c r="B72" s="3" t="s">
        <v>39</v>
      </c>
      <c r="C72" s="3" t="s">
        <v>23</v>
      </c>
      <c r="D72" s="3" t="s">
        <v>17</v>
      </c>
      <c r="E72" s="4">
        <v>250</v>
      </c>
      <c r="F72" s="4">
        <v>2</v>
      </c>
      <c r="G72" s="4" t="s">
        <v>24</v>
      </c>
      <c r="H72" s="4">
        <v>20</v>
      </c>
      <c r="I72" s="4">
        <v>61</v>
      </c>
      <c r="J72" s="2" t="s">
        <v>25</v>
      </c>
      <c r="K72" s="2" t="s">
        <v>54</v>
      </c>
      <c r="L72" s="2" t="s">
        <v>56</v>
      </c>
    </row>
    <row r="73" spans="1:13" ht="41.4" x14ac:dyDescent="0.3">
      <c r="A73" s="3" t="s">
        <v>161</v>
      </c>
      <c r="B73" s="3" t="s">
        <v>39</v>
      </c>
      <c r="C73" s="3" t="s">
        <v>23</v>
      </c>
      <c r="D73" s="3" t="s">
        <v>17</v>
      </c>
      <c r="E73" s="4">
        <v>305</v>
      </c>
      <c r="F73" s="4">
        <v>1</v>
      </c>
      <c r="G73" s="4">
        <v>2</v>
      </c>
      <c r="H73" s="4">
        <v>20</v>
      </c>
      <c r="I73" s="4">
        <v>45</v>
      </c>
      <c r="J73" s="2" t="s">
        <v>162</v>
      </c>
      <c r="K73" s="2" t="s">
        <v>105</v>
      </c>
      <c r="L73" s="2" t="s">
        <v>250</v>
      </c>
    </row>
    <row r="74" spans="1:13" ht="41.4" x14ac:dyDescent="0.3">
      <c r="A74" s="3" t="s">
        <v>337</v>
      </c>
      <c r="B74" s="3" t="s">
        <v>39</v>
      </c>
      <c r="C74" s="3" t="s">
        <v>23</v>
      </c>
      <c r="D74" s="3" t="s">
        <v>17</v>
      </c>
      <c r="E74" s="4">
        <v>300</v>
      </c>
      <c r="F74" s="4">
        <v>1</v>
      </c>
      <c r="G74" s="4">
        <v>3</v>
      </c>
      <c r="H74" s="4">
        <v>15</v>
      </c>
      <c r="I74" s="4">
        <v>61</v>
      </c>
      <c r="J74" s="2" t="s">
        <v>338</v>
      </c>
      <c r="K74" s="2" t="s">
        <v>105</v>
      </c>
      <c r="L74" s="2" t="s">
        <v>250</v>
      </c>
    </row>
    <row r="75" spans="1:13" ht="27.6" x14ac:dyDescent="0.3">
      <c r="A75" s="3" t="s">
        <v>164</v>
      </c>
      <c r="B75" s="3" t="s">
        <v>39</v>
      </c>
      <c r="C75" s="3" t="s">
        <v>23</v>
      </c>
      <c r="D75" s="3" t="s">
        <v>17</v>
      </c>
      <c r="E75" s="4">
        <v>375</v>
      </c>
      <c r="F75" s="4">
        <v>5</v>
      </c>
      <c r="G75" s="4">
        <v>30</v>
      </c>
      <c r="H75" s="4">
        <v>30</v>
      </c>
      <c r="I75" s="4">
        <v>120</v>
      </c>
      <c r="J75" s="2" t="s">
        <v>167</v>
      </c>
      <c r="K75" s="2" t="s">
        <v>165</v>
      </c>
      <c r="L75" s="2" t="s">
        <v>160</v>
      </c>
    </row>
    <row r="76" spans="1:13" ht="41.4" hidden="1" x14ac:dyDescent="0.3">
      <c r="A76" s="3" t="s">
        <v>297</v>
      </c>
      <c r="B76" s="3" t="s">
        <v>98</v>
      </c>
      <c r="C76" s="6" t="s">
        <v>296</v>
      </c>
      <c r="D76" s="3" t="s">
        <v>15</v>
      </c>
      <c r="E76" s="4">
        <v>950</v>
      </c>
      <c r="F76" s="4" t="s">
        <v>209</v>
      </c>
      <c r="G76" s="4" t="s">
        <v>212</v>
      </c>
      <c r="H76" s="4">
        <v>1</v>
      </c>
      <c r="I76" s="4">
        <v>12</v>
      </c>
      <c r="J76" s="2" t="s">
        <v>299</v>
      </c>
      <c r="K76" s="2" t="s">
        <v>64</v>
      </c>
      <c r="L76" s="2" t="s">
        <v>298</v>
      </c>
      <c r="M76" s="2" t="s">
        <v>594</v>
      </c>
    </row>
    <row r="77" spans="1:13" ht="41.4" hidden="1" x14ac:dyDescent="0.3">
      <c r="A77" s="3" t="s">
        <v>314</v>
      </c>
      <c r="B77" s="3" t="s">
        <v>98</v>
      </c>
      <c r="C77" s="3" t="s">
        <v>315</v>
      </c>
      <c r="D77" s="3" t="s">
        <v>17</v>
      </c>
      <c r="E77" s="4">
        <v>250</v>
      </c>
      <c r="F77" s="4">
        <v>10</v>
      </c>
      <c r="G77" s="4">
        <v>47</v>
      </c>
      <c r="H77" s="4">
        <v>50</v>
      </c>
      <c r="I77" s="4">
        <v>300</v>
      </c>
      <c r="J77" s="2" t="s">
        <v>316</v>
      </c>
      <c r="K77" s="2" t="s">
        <v>185</v>
      </c>
      <c r="L77" s="2" t="s">
        <v>160</v>
      </c>
      <c r="M77" s="2" t="s">
        <v>595</v>
      </c>
    </row>
    <row r="78" spans="1:13" ht="41.4" hidden="1" x14ac:dyDescent="0.3">
      <c r="A78" s="3" t="s">
        <v>366</v>
      </c>
      <c r="B78" s="3" t="s">
        <v>98</v>
      </c>
      <c r="C78" s="3" t="s">
        <v>367</v>
      </c>
      <c r="D78" s="3" t="s">
        <v>15</v>
      </c>
      <c r="E78" s="4">
        <v>900</v>
      </c>
      <c r="F78" s="4">
        <v>5</v>
      </c>
      <c r="G78" s="4">
        <v>60</v>
      </c>
      <c r="H78" s="4">
        <v>40</v>
      </c>
      <c r="I78" s="4">
        <v>120</v>
      </c>
      <c r="J78" s="2" t="s">
        <v>369</v>
      </c>
      <c r="K78" s="2" t="s">
        <v>64</v>
      </c>
      <c r="L78" s="2" t="s">
        <v>368</v>
      </c>
      <c r="M78" s="2" t="s">
        <v>594</v>
      </c>
    </row>
    <row r="79" spans="1:13" ht="41.4" hidden="1" x14ac:dyDescent="0.3">
      <c r="A79" s="3" t="s">
        <v>317</v>
      </c>
      <c r="B79" s="3" t="s">
        <v>98</v>
      </c>
      <c r="C79" s="3" t="s">
        <v>318</v>
      </c>
      <c r="D79" s="3" t="s">
        <v>20</v>
      </c>
      <c r="E79" s="4">
        <v>150</v>
      </c>
      <c r="F79" s="4">
        <v>100</v>
      </c>
      <c r="G79" s="4">
        <v>650</v>
      </c>
      <c r="H79" s="4">
        <v>100</v>
      </c>
      <c r="I79" s="4">
        <v>455</v>
      </c>
      <c r="J79" s="2" t="s">
        <v>319</v>
      </c>
      <c r="K79" s="2" t="s">
        <v>64</v>
      </c>
      <c r="L79" s="2" t="s">
        <v>298</v>
      </c>
      <c r="M79" s="2" t="s">
        <v>594</v>
      </c>
    </row>
    <row r="80" spans="1:13" ht="41.4" hidden="1" x14ac:dyDescent="0.3">
      <c r="A80" s="3" t="s">
        <v>381</v>
      </c>
      <c r="B80" s="3" t="s">
        <v>98</v>
      </c>
      <c r="C80" s="3" t="s">
        <v>318</v>
      </c>
      <c r="D80" s="3" t="s">
        <v>20</v>
      </c>
      <c r="E80" s="4">
        <v>60</v>
      </c>
      <c r="F80" s="4">
        <v>70</v>
      </c>
      <c r="G80" s="4">
        <v>350</v>
      </c>
      <c r="H80" s="4">
        <v>40</v>
      </c>
      <c r="I80" s="4">
        <v>100</v>
      </c>
      <c r="J80" s="2" t="s">
        <v>382</v>
      </c>
      <c r="K80" s="2" t="s">
        <v>129</v>
      </c>
      <c r="L80" s="2" t="s">
        <v>160</v>
      </c>
      <c r="M80" s="2" t="s">
        <v>597</v>
      </c>
    </row>
    <row r="81" spans="1:13" ht="41.4" hidden="1" x14ac:dyDescent="0.3">
      <c r="A81" s="3" t="s">
        <v>383</v>
      </c>
      <c r="B81" s="3" t="s">
        <v>98</v>
      </c>
      <c r="C81" s="3" t="s">
        <v>318</v>
      </c>
      <c r="D81" s="3" t="s">
        <v>20</v>
      </c>
      <c r="E81" s="4">
        <v>51</v>
      </c>
      <c r="F81" s="4">
        <v>100</v>
      </c>
      <c r="G81" s="4">
        <v>450</v>
      </c>
      <c r="H81" s="4">
        <v>150</v>
      </c>
      <c r="I81" s="4">
        <v>710</v>
      </c>
      <c r="J81" s="2" t="s">
        <v>384</v>
      </c>
      <c r="K81" s="2" t="s">
        <v>105</v>
      </c>
      <c r="L81" s="2" t="s">
        <v>250</v>
      </c>
      <c r="M81" s="2" t="s">
        <v>97</v>
      </c>
    </row>
    <row r="82" spans="1:13" ht="41.4" hidden="1" x14ac:dyDescent="0.3">
      <c r="A82" s="3" t="s">
        <v>195</v>
      </c>
      <c r="B82" s="3" t="s">
        <v>98</v>
      </c>
      <c r="C82" s="3" t="s">
        <v>34</v>
      </c>
      <c r="D82" s="3" t="s">
        <v>20</v>
      </c>
      <c r="E82" s="4">
        <v>150</v>
      </c>
      <c r="F82" s="4" t="s">
        <v>196</v>
      </c>
      <c r="G82" s="4">
        <v>3</v>
      </c>
      <c r="H82" s="4">
        <v>25</v>
      </c>
      <c r="I82" s="4">
        <v>55</v>
      </c>
      <c r="J82" s="2" t="s">
        <v>197</v>
      </c>
      <c r="K82" s="2" t="s">
        <v>105</v>
      </c>
      <c r="L82" s="2" t="s">
        <v>250</v>
      </c>
      <c r="M82" s="2" t="s">
        <v>97</v>
      </c>
    </row>
    <row r="83" spans="1:13" ht="41.4" hidden="1" x14ac:dyDescent="0.3">
      <c r="A83" s="3" t="s">
        <v>183</v>
      </c>
      <c r="B83" s="3" t="s">
        <v>98</v>
      </c>
      <c r="C83" s="3" t="s">
        <v>34</v>
      </c>
      <c r="D83" s="3" t="s">
        <v>17</v>
      </c>
      <c r="E83" s="4">
        <v>425</v>
      </c>
      <c r="F83" s="4">
        <v>1</v>
      </c>
      <c r="G83" s="4">
        <v>3</v>
      </c>
      <c r="H83" s="4">
        <v>10</v>
      </c>
      <c r="I83" s="4">
        <v>60</v>
      </c>
      <c r="J83" s="2" t="s">
        <v>186</v>
      </c>
      <c r="K83" s="2" t="s">
        <v>185</v>
      </c>
      <c r="L83" s="2" t="s">
        <v>56</v>
      </c>
      <c r="M83" s="2" t="s">
        <v>596</v>
      </c>
    </row>
    <row r="84" spans="1:13" ht="55.2" hidden="1" x14ac:dyDescent="0.3">
      <c r="A84" s="3" t="s">
        <v>191</v>
      </c>
      <c r="B84" s="3" t="s">
        <v>98</v>
      </c>
      <c r="C84" s="3" t="s">
        <v>34</v>
      </c>
      <c r="D84" s="3" t="s">
        <v>17</v>
      </c>
      <c r="E84" s="4">
        <v>350</v>
      </c>
      <c r="F84" s="4" t="s">
        <v>178</v>
      </c>
      <c r="G84" s="4">
        <v>10</v>
      </c>
      <c r="H84" s="4">
        <v>20</v>
      </c>
      <c r="I84" s="4">
        <v>120</v>
      </c>
      <c r="J84" s="2" t="s">
        <v>192</v>
      </c>
      <c r="K84" s="2" t="s">
        <v>185</v>
      </c>
      <c r="L84" s="2" t="s">
        <v>63</v>
      </c>
      <c r="M84" s="2" t="s">
        <v>599</v>
      </c>
    </row>
    <row r="85" spans="1:13" ht="55.2" hidden="1" x14ac:dyDescent="0.3">
      <c r="A85" s="3" t="s">
        <v>193</v>
      </c>
      <c r="B85" s="3" t="s">
        <v>98</v>
      </c>
      <c r="C85" s="3" t="s">
        <v>34</v>
      </c>
      <c r="D85" s="3" t="s">
        <v>17</v>
      </c>
      <c r="E85" s="4">
        <v>201</v>
      </c>
      <c r="F85" s="4" t="s">
        <v>27</v>
      </c>
      <c r="G85" s="4">
        <v>18</v>
      </c>
      <c r="H85" s="4">
        <v>15</v>
      </c>
      <c r="I85" s="4">
        <v>70</v>
      </c>
      <c r="J85" s="2" t="s">
        <v>194</v>
      </c>
      <c r="K85" s="2" t="s">
        <v>185</v>
      </c>
      <c r="L85" s="2" t="s">
        <v>59</v>
      </c>
      <c r="M85" s="2" t="s">
        <v>595</v>
      </c>
    </row>
    <row r="86" spans="1:13" ht="41.4" hidden="1" x14ac:dyDescent="0.3">
      <c r="A86" s="3" t="s">
        <v>267</v>
      </c>
      <c r="B86" s="3" t="s">
        <v>98</v>
      </c>
      <c r="C86" s="3" t="s">
        <v>226</v>
      </c>
      <c r="D86" s="3" t="s">
        <v>17</v>
      </c>
      <c r="E86" s="4">
        <v>205</v>
      </c>
      <c r="F86" s="4">
        <v>3</v>
      </c>
      <c r="G86" s="4">
        <v>9</v>
      </c>
      <c r="H86" s="4">
        <v>35</v>
      </c>
      <c r="I86" s="4">
        <v>100</v>
      </c>
      <c r="J86" s="2" t="s">
        <v>268</v>
      </c>
      <c r="K86" s="2" t="s">
        <v>129</v>
      </c>
      <c r="L86" s="2" t="s">
        <v>266</v>
      </c>
      <c r="M86" s="2" t="s">
        <v>597</v>
      </c>
    </row>
    <row r="87" spans="1:13" ht="41.4" hidden="1" x14ac:dyDescent="0.3">
      <c r="A87" s="3" t="s">
        <v>270</v>
      </c>
      <c r="B87" s="3" t="s">
        <v>98</v>
      </c>
      <c r="C87" s="3" t="s">
        <v>226</v>
      </c>
      <c r="D87" s="3" t="s">
        <v>17</v>
      </c>
      <c r="E87" s="4">
        <v>215</v>
      </c>
      <c r="F87" s="4" t="s">
        <v>218</v>
      </c>
      <c r="G87" s="4">
        <v>1</v>
      </c>
      <c r="H87" s="4">
        <v>10</v>
      </c>
      <c r="I87" s="4">
        <v>55</v>
      </c>
      <c r="J87" s="2" t="s">
        <v>271</v>
      </c>
      <c r="K87" s="2" t="s">
        <v>185</v>
      </c>
      <c r="L87" s="2" t="s">
        <v>269</v>
      </c>
      <c r="M87" s="2" t="s">
        <v>598</v>
      </c>
    </row>
    <row r="88" spans="1:13" ht="55.2" hidden="1" x14ac:dyDescent="0.3">
      <c r="A88" s="3" t="s">
        <v>312</v>
      </c>
      <c r="B88" s="3" t="s">
        <v>98</v>
      </c>
      <c r="C88" s="3" t="s">
        <v>308</v>
      </c>
      <c r="D88" s="3" t="s">
        <v>17</v>
      </c>
      <c r="E88" s="4">
        <v>201</v>
      </c>
      <c r="F88" s="4">
        <v>8</v>
      </c>
      <c r="G88" s="4">
        <v>40</v>
      </c>
      <c r="H88" s="4">
        <v>12</v>
      </c>
      <c r="I88" s="4">
        <v>180</v>
      </c>
      <c r="J88" s="2" t="s">
        <v>313</v>
      </c>
      <c r="K88" s="2" t="s">
        <v>206</v>
      </c>
      <c r="L88" s="2" t="s">
        <v>58</v>
      </c>
      <c r="M88" s="2" t="s">
        <v>600</v>
      </c>
    </row>
    <row r="89" spans="1:13" ht="41.4" hidden="1" x14ac:dyDescent="0.3">
      <c r="A89" s="3" t="s">
        <v>370</v>
      </c>
      <c r="B89" s="3" t="s">
        <v>98</v>
      </c>
      <c r="C89" s="3" t="s">
        <v>358</v>
      </c>
      <c r="D89" s="3" t="s">
        <v>17</v>
      </c>
      <c r="E89" s="4">
        <v>430</v>
      </c>
      <c r="F89" s="4" t="s">
        <v>27</v>
      </c>
      <c r="G89" s="4">
        <v>9</v>
      </c>
      <c r="H89" s="4">
        <v>20</v>
      </c>
      <c r="I89" s="4">
        <v>51</v>
      </c>
      <c r="J89" s="2" t="s">
        <v>371</v>
      </c>
      <c r="K89" s="2" t="s">
        <v>175</v>
      </c>
      <c r="L89" s="2" t="s">
        <v>63</v>
      </c>
      <c r="M89" s="2" t="s">
        <v>601</v>
      </c>
    </row>
    <row r="90" spans="1:13" ht="41.4" hidden="1" x14ac:dyDescent="0.3">
      <c r="A90" s="3" t="s">
        <v>435</v>
      </c>
      <c r="B90" s="3" t="s">
        <v>98</v>
      </c>
      <c r="C90" s="3" t="s">
        <v>436</v>
      </c>
      <c r="D90" s="3" t="s">
        <v>15</v>
      </c>
      <c r="E90" s="4">
        <v>825</v>
      </c>
      <c r="F90" s="4" t="s">
        <v>205</v>
      </c>
      <c r="G90" s="4">
        <v>15</v>
      </c>
      <c r="H90" s="4">
        <v>15</v>
      </c>
      <c r="I90" s="4">
        <v>60</v>
      </c>
      <c r="J90" s="2" t="s">
        <v>437</v>
      </c>
      <c r="K90" s="2" t="s">
        <v>64</v>
      </c>
      <c r="L90" s="2" t="s">
        <v>428</v>
      </c>
      <c r="M90" s="2" t="s">
        <v>594</v>
      </c>
    </row>
    <row r="91" spans="1:13" ht="41.4" hidden="1" x14ac:dyDescent="0.3">
      <c r="A91" s="3" t="s">
        <v>438</v>
      </c>
      <c r="B91" s="3" t="s">
        <v>98</v>
      </c>
      <c r="C91" s="3" t="s">
        <v>436</v>
      </c>
      <c r="D91" s="3" t="s">
        <v>15</v>
      </c>
      <c r="E91" s="4">
        <v>775</v>
      </c>
      <c r="F91" s="4" t="s">
        <v>27</v>
      </c>
      <c r="G91" s="4">
        <v>2</v>
      </c>
      <c r="H91" s="4" t="s">
        <v>399</v>
      </c>
      <c r="I91" s="4">
        <v>75</v>
      </c>
      <c r="J91" s="2" t="s">
        <v>440</v>
      </c>
      <c r="K91" s="2" t="s">
        <v>64</v>
      </c>
      <c r="L91" s="2" t="s">
        <v>439</v>
      </c>
      <c r="M91" s="2" t="s">
        <v>594</v>
      </c>
    </row>
    <row r="92" spans="1:13" ht="55.2" hidden="1" x14ac:dyDescent="0.3">
      <c r="A92" s="3" t="s">
        <v>441</v>
      </c>
      <c r="B92" s="3" t="s">
        <v>98</v>
      </c>
      <c r="C92" s="3" t="s">
        <v>436</v>
      </c>
      <c r="D92" s="3" t="s">
        <v>17</v>
      </c>
      <c r="E92" s="4">
        <v>230</v>
      </c>
      <c r="F92" s="4" t="s">
        <v>209</v>
      </c>
      <c r="G92" s="4">
        <v>2</v>
      </c>
      <c r="H92" s="4" t="s">
        <v>443</v>
      </c>
      <c r="I92" s="4">
        <v>45</v>
      </c>
      <c r="J92" s="2" t="s">
        <v>444</v>
      </c>
      <c r="K92" s="2" t="s">
        <v>185</v>
      </c>
      <c r="L92" s="2" t="s">
        <v>260</v>
      </c>
      <c r="M92" s="2" t="s">
        <v>602</v>
      </c>
    </row>
    <row r="93" spans="1:13" ht="41.4" hidden="1" x14ac:dyDescent="0.3">
      <c r="A93" s="3" t="s">
        <v>309</v>
      </c>
      <c r="B93" s="3" t="s">
        <v>98</v>
      </c>
      <c r="C93" s="3" t="s">
        <v>310</v>
      </c>
      <c r="D93" s="3" t="s">
        <v>17</v>
      </c>
      <c r="E93" s="4">
        <v>300</v>
      </c>
      <c r="F93" s="4">
        <v>5</v>
      </c>
      <c r="G93" s="4">
        <v>40</v>
      </c>
      <c r="H93" s="4">
        <v>11</v>
      </c>
      <c r="I93" s="4">
        <v>184</v>
      </c>
      <c r="J93" s="2" t="s">
        <v>311</v>
      </c>
      <c r="K93" s="2" t="s">
        <v>175</v>
      </c>
      <c r="L93" s="2" t="s">
        <v>266</v>
      </c>
      <c r="M93" s="2" t="s">
        <v>128</v>
      </c>
    </row>
    <row r="94" spans="1:13" ht="55.2" hidden="1" x14ac:dyDescent="0.3">
      <c r="A94" s="3" t="s">
        <v>304</v>
      </c>
      <c r="B94" s="3" t="s">
        <v>98</v>
      </c>
      <c r="C94" s="3" t="s">
        <v>305</v>
      </c>
      <c r="D94" s="3" t="s">
        <v>15</v>
      </c>
      <c r="E94" s="4">
        <v>875</v>
      </c>
      <c r="F94" s="4" t="s">
        <v>218</v>
      </c>
      <c r="G94" s="4" t="s">
        <v>306</v>
      </c>
      <c r="H94" s="4">
        <v>10</v>
      </c>
      <c r="I94" s="4">
        <v>35</v>
      </c>
      <c r="J94" s="2" t="s">
        <v>307</v>
      </c>
      <c r="K94" s="2" t="s">
        <v>64</v>
      </c>
      <c r="L94" s="2" t="s">
        <v>60</v>
      </c>
      <c r="M94" s="2" t="s">
        <v>606</v>
      </c>
    </row>
    <row r="95" spans="1:13" ht="55.2" hidden="1" x14ac:dyDescent="0.3">
      <c r="A95" s="3" t="s">
        <v>377</v>
      </c>
      <c r="B95" s="3" t="s">
        <v>98</v>
      </c>
      <c r="C95" s="3" t="s">
        <v>378</v>
      </c>
      <c r="D95" s="3" t="s">
        <v>17</v>
      </c>
      <c r="E95" s="4">
        <v>295</v>
      </c>
      <c r="F95" s="4">
        <v>2</v>
      </c>
      <c r="G95" s="4">
        <v>10</v>
      </c>
      <c r="H95" s="4">
        <v>90</v>
      </c>
      <c r="I95" s="4">
        <v>160</v>
      </c>
      <c r="J95" s="2" t="s">
        <v>380</v>
      </c>
      <c r="K95" s="2" t="s">
        <v>185</v>
      </c>
      <c r="L95" s="2" t="s">
        <v>379</v>
      </c>
      <c r="M95" s="2" t="s">
        <v>603</v>
      </c>
    </row>
    <row r="96" spans="1:13" ht="41.4" hidden="1" x14ac:dyDescent="0.3">
      <c r="A96" s="3" t="s">
        <v>432</v>
      </c>
      <c r="B96" s="3" t="s">
        <v>98</v>
      </c>
      <c r="C96" s="3" t="s">
        <v>414</v>
      </c>
      <c r="D96" s="3" t="s">
        <v>15</v>
      </c>
      <c r="E96" s="4">
        <v>900</v>
      </c>
      <c r="F96" s="4">
        <v>2</v>
      </c>
      <c r="G96" s="4">
        <v>23</v>
      </c>
      <c r="H96" s="4">
        <v>23</v>
      </c>
      <c r="I96" s="4">
        <v>88</v>
      </c>
      <c r="J96" s="2" t="s">
        <v>434</v>
      </c>
      <c r="K96" s="2" t="s">
        <v>64</v>
      </c>
      <c r="L96" s="2" t="s">
        <v>433</v>
      </c>
      <c r="M96" s="2" t="s">
        <v>604</v>
      </c>
    </row>
    <row r="97" spans="1:13" ht="41.4" hidden="1" x14ac:dyDescent="0.3">
      <c r="A97" s="3" t="s">
        <v>300</v>
      </c>
      <c r="B97" s="3" t="s">
        <v>98</v>
      </c>
      <c r="C97" s="3" t="s">
        <v>301</v>
      </c>
      <c r="D97" s="3" t="s">
        <v>15</v>
      </c>
      <c r="E97" s="4">
        <v>451</v>
      </c>
      <c r="F97" s="4" t="s">
        <v>199</v>
      </c>
      <c r="G97" s="4" t="s">
        <v>302</v>
      </c>
      <c r="H97" s="4">
        <v>20</v>
      </c>
      <c r="I97" s="4">
        <v>60</v>
      </c>
      <c r="J97" s="2" t="s">
        <v>303</v>
      </c>
      <c r="K97" s="2" t="s">
        <v>64</v>
      </c>
      <c r="L97" s="2" t="s">
        <v>56</v>
      </c>
      <c r="M97" s="2" t="s">
        <v>605</v>
      </c>
    </row>
    <row r="98" spans="1:13" ht="41.4" hidden="1" x14ac:dyDescent="0.3">
      <c r="A98" s="3" t="s">
        <v>372</v>
      </c>
      <c r="B98" s="3" t="s">
        <v>98</v>
      </c>
      <c r="C98" s="3" t="s">
        <v>373</v>
      </c>
      <c r="D98" s="3" t="s">
        <v>20</v>
      </c>
      <c r="E98" s="4">
        <v>90</v>
      </c>
      <c r="F98" s="4">
        <v>100</v>
      </c>
      <c r="G98" s="4">
        <v>700</v>
      </c>
      <c r="H98" s="4">
        <v>150</v>
      </c>
      <c r="I98" s="4">
        <v>400</v>
      </c>
      <c r="J98" s="2" t="s">
        <v>374</v>
      </c>
      <c r="K98" s="2" t="s">
        <v>129</v>
      </c>
      <c r="L98" s="2" t="s">
        <v>160</v>
      </c>
      <c r="M98" s="2" t="s">
        <v>607</v>
      </c>
    </row>
    <row r="99" spans="1:13" ht="41.4" hidden="1" x14ac:dyDescent="0.3">
      <c r="A99" s="3" t="s">
        <v>375</v>
      </c>
      <c r="B99" s="3" t="s">
        <v>98</v>
      </c>
      <c r="C99" s="3" t="s">
        <v>373</v>
      </c>
      <c r="D99" s="3" t="s">
        <v>20</v>
      </c>
      <c r="E99" s="4">
        <v>95</v>
      </c>
      <c r="F99" s="4">
        <v>90</v>
      </c>
      <c r="G99" s="4">
        <v>450</v>
      </c>
      <c r="H99" s="4">
        <v>120</v>
      </c>
      <c r="I99" s="4">
        <v>240</v>
      </c>
      <c r="J99" s="2" t="s">
        <v>376</v>
      </c>
      <c r="K99" s="2" t="s">
        <v>105</v>
      </c>
      <c r="L99" s="2" t="s">
        <v>250</v>
      </c>
      <c r="M99" s="2" t="s">
        <v>97</v>
      </c>
    </row>
    <row r="100" spans="1:13" ht="55.2" hidden="1" x14ac:dyDescent="0.3">
      <c r="A100" s="3" t="s">
        <v>425</v>
      </c>
      <c r="B100" s="3" t="s">
        <v>98</v>
      </c>
      <c r="C100" s="3" t="s">
        <v>373</v>
      </c>
      <c r="D100" s="3" t="s">
        <v>20</v>
      </c>
      <c r="E100" s="4">
        <v>160</v>
      </c>
      <c r="F100" s="4">
        <v>15</v>
      </c>
      <c r="G100" s="4">
        <v>40</v>
      </c>
      <c r="H100" s="4">
        <v>90</v>
      </c>
      <c r="I100" s="4">
        <v>150</v>
      </c>
      <c r="J100" s="2" t="s">
        <v>426</v>
      </c>
      <c r="K100" s="2" t="s">
        <v>185</v>
      </c>
      <c r="L100" s="2" t="s">
        <v>269</v>
      </c>
      <c r="M100" s="2" t="s">
        <v>140</v>
      </c>
    </row>
    <row r="101" spans="1:13" ht="41.4" hidden="1" x14ac:dyDescent="0.3">
      <c r="A101" s="3" t="s">
        <v>427</v>
      </c>
      <c r="B101" s="3" t="s">
        <v>98</v>
      </c>
      <c r="C101" s="3" t="s">
        <v>373</v>
      </c>
      <c r="D101" s="3" t="s">
        <v>17</v>
      </c>
      <c r="E101" s="4">
        <v>275</v>
      </c>
      <c r="F101" s="4" t="s">
        <v>429</v>
      </c>
      <c r="G101" s="4">
        <v>180</v>
      </c>
      <c r="H101" s="4">
        <v>75</v>
      </c>
      <c r="I101" s="4">
        <v>250</v>
      </c>
      <c r="J101" s="2" t="s">
        <v>431</v>
      </c>
      <c r="K101" s="2" t="s">
        <v>64</v>
      </c>
      <c r="L101" s="2" t="s">
        <v>430</v>
      </c>
      <c r="M101" s="2" t="s">
        <v>608</v>
      </c>
    </row>
    <row r="102" spans="1:13" hidden="1" x14ac:dyDescent="0.3">
      <c r="L102" s="19" t="s">
        <v>442</v>
      </c>
    </row>
  </sheetData>
  <autoFilter ref="A1:M102" xr:uid="{D72DDB04-9343-4C49-91F5-9D2C45772DD9}">
    <filterColumn colId="1">
      <filters>
        <filter val="Freshwater"/>
      </filters>
    </filterColumn>
  </autoFilter>
  <sortState xmlns:xlrd2="http://schemas.microsoft.com/office/spreadsheetml/2017/richdata2" ref="A2:M102">
    <sortCondition ref="B2:B102"/>
    <sortCondition ref="C2:C102"/>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E62F-263C-414E-A448-8B21530BFE26}">
  <sheetPr codeName="Sheet6"/>
  <dimension ref="A1:E1"/>
  <sheetViews>
    <sheetView workbookViewId="0">
      <pane ySplit="1" topLeftCell="A2" activePane="bottomLeft" state="frozen"/>
      <selection pane="bottomLeft" activeCell="G20" sqref="A1:XFD1048576"/>
    </sheetView>
  </sheetViews>
  <sheetFormatPr defaultRowHeight="13.8" x14ac:dyDescent="0.25"/>
  <cols>
    <col min="1" max="1" width="4.5546875" style="5" bestFit="1" customWidth="1"/>
    <col min="2" max="2" width="6" style="5" bestFit="1" customWidth="1"/>
    <col min="3" max="3" width="11.21875" style="5" bestFit="1" customWidth="1"/>
    <col min="4" max="4" width="11.5546875" style="5" bestFit="1" customWidth="1"/>
    <col min="5" max="5" width="10.88671875" style="5" bestFit="1" customWidth="1"/>
    <col min="6" max="16384" width="8.88671875" style="8"/>
  </cols>
  <sheetData>
    <row r="1" spans="1:5" x14ac:dyDescent="0.25">
      <c r="A1" s="14" t="s">
        <v>146</v>
      </c>
      <c r="B1" s="14" t="s">
        <v>0</v>
      </c>
      <c r="C1" s="14" t="s">
        <v>9</v>
      </c>
      <c r="D1" s="14" t="s">
        <v>10</v>
      </c>
      <c r="E1" s="14" t="s">
        <v>1</v>
      </c>
    </row>
  </sheetData>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8A856-5E3F-4F82-AC87-CA307D114298}">
  <sheetPr codeName="Sheet7" filterMode="1"/>
  <dimension ref="A1:D35"/>
  <sheetViews>
    <sheetView tabSelected="1" zoomScaleNormal="100" workbookViewId="0">
      <pane ySplit="1" topLeftCell="A2" activePane="bottomLeft" state="frozen"/>
      <selection pane="bottomLeft" activeCell="A35" sqref="A35"/>
    </sheetView>
  </sheetViews>
  <sheetFormatPr defaultRowHeight="13.8" x14ac:dyDescent="0.25"/>
  <cols>
    <col min="1" max="1" width="20.77734375" style="2" bestFit="1" customWidth="1"/>
    <col min="2" max="2" width="14.21875" style="2" bestFit="1" customWidth="1"/>
    <col min="3" max="3" width="43.6640625" style="2" bestFit="1" customWidth="1"/>
    <col min="4" max="4" width="11.5546875" style="2" bestFit="1" customWidth="1"/>
    <col min="5" max="16384" width="8.88671875" style="15"/>
  </cols>
  <sheetData>
    <row r="1" spans="1:4" x14ac:dyDescent="0.25">
      <c r="A1" s="1" t="s">
        <v>0</v>
      </c>
      <c r="B1" s="1" t="s">
        <v>37</v>
      </c>
      <c r="C1" s="1" t="s">
        <v>1</v>
      </c>
      <c r="D1" s="1" t="s">
        <v>104</v>
      </c>
    </row>
    <row r="2" spans="1:4" ht="27.6" x14ac:dyDescent="0.25">
      <c r="A2" s="2" t="s">
        <v>42</v>
      </c>
      <c r="B2" s="2" t="s">
        <v>39</v>
      </c>
      <c r="C2" s="2" t="s">
        <v>111</v>
      </c>
      <c r="D2" s="2" t="s">
        <v>55</v>
      </c>
    </row>
    <row r="3" spans="1:4" ht="27.6" x14ac:dyDescent="0.25">
      <c r="A3" s="2" t="s">
        <v>40</v>
      </c>
      <c r="B3" s="2" t="s">
        <v>39</v>
      </c>
      <c r="C3" s="2" t="s">
        <v>107</v>
      </c>
      <c r="D3" s="2" t="s">
        <v>55</v>
      </c>
    </row>
    <row r="4" spans="1:4" ht="27.6" x14ac:dyDescent="0.25">
      <c r="A4" s="2" t="s">
        <v>41</v>
      </c>
      <c r="B4" s="2" t="s">
        <v>39</v>
      </c>
      <c r="C4" s="2" t="s">
        <v>110</v>
      </c>
      <c r="D4" s="2" t="s">
        <v>55</v>
      </c>
    </row>
    <row r="5" spans="1:4" ht="27.6" x14ac:dyDescent="0.25">
      <c r="A5" s="2" t="s">
        <v>43</v>
      </c>
      <c r="B5" s="2" t="s">
        <v>39</v>
      </c>
      <c r="C5" s="2" t="s">
        <v>112</v>
      </c>
      <c r="D5" s="2" t="s">
        <v>55</v>
      </c>
    </row>
    <row r="6" spans="1:4" ht="41.4" x14ac:dyDescent="0.25">
      <c r="A6" s="2" t="s">
        <v>44</v>
      </c>
      <c r="B6" s="2" t="s">
        <v>39</v>
      </c>
      <c r="C6" s="2" t="s">
        <v>106</v>
      </c>
      <c r="D6" s="2" t="s">
        <v>55</v>
      </c>
    </row>
    <row r="7" spans="1:4" ht="41.4" x14ac:dyDescent="0.25">
      <c r="A7" s="2" t="s">
        <v>108</v>
      </c>
      <c r="B7" s="2" t="s">
        <v>39</v>
      </c>
      <c r="C7" s="2" t="s">
        <v>109</v>
      </c>
      <c r="D7" s="2" t="s">
        <v>55</v>
      </c>
    </row>
    <row r="8" spans="1:4" ht="46.8" customHeight="1" x14ac:dyDescent="0.25">
      <c r="A8" s="2" t="s">
        <v>50</v>
      </c>
      <c r="B8" s="2" t="s">
        <v>39</v>
      </c>
      <c r="C8" s="2" t="s">
        <v>101</v>
      </c>
      <c r="D8" s="2" t="s">
        <v>54</v>
      </c>
    </row>
    <row r="9" spans="1:4" ht="41.4" x14ac:dyDescent="0.25">
      <c r="A9" s="12" t="s">
        <v>116</v>
      </c>
      <c r="B9" s="12" t="s">
        <v>39</v>
      </c>
      <c r="C9" s="12" t="s">
        <v>117</v>
      </c>
      <c r="D9" s="12" t="s">
        <v>118</v>
      </c>
    </row>
    <row r="10" spans="1:4" ht="41.4" x14ac:dyDescent="0.25">
      <c r="A10" s="12" t="s">
        <v>122</v>
      </c>
      <c r="B10" s="12" t="s">
        <v>39</v>
      </c>
      <c r="C10" s="12" t="s">
        <v>121</v>
      </c>
      <c r="D10" s="12" t="s">
        <v>118</v>
      </c>
    </row>
    <row r="11" spans="1:4" ht="55.2" x14ac:dyDescent="0.25">
      <c r="A11" s="12" t="s">
        <v>127</v>
      </c>
      <c r="B11" s="12" t="s">
        <v>39</v>
      </c>
      <c r="C11" s="12" t="s">
        <v>330</v>
      </c>
      <c r="D11" s="12" t="s">
        <v>118</v>
      </c>
    </row>
    <row r="12" spans="1:4" ht="55.2" x14ac:dyDescent="0.25">
      <c r="A12" s="12" t="s">
        <v>119</v>
      </c>
      <c r="B12" s="12" t="s">
        <v>39</v>
      </c>
      <c r="C12" s="12" t="s">
        <v>126</v>
      </c>
      <c r="D12" s="12" t="s">
        <v>118</v>
      </c>
    </row>
    <row r="13" spans="1:4" ht="41.4" x14ac:dyDescent="0.25">
      <c r="A13" s="12" t="s">
        <v>120</v>
      </c>
      <c r="B13" s="12" t="s">
        <v>39</v>
      </c>
      <c r="C13" s="12" t="s">
        <v>123</v>
      </c>
      <c r="D13" s="12" t="s">
        <v>118</v>
      </c>
    </row>
    <row r="14" spans="1:4" ht="41.4" x14ac:dyDescent="0.25">
      <c r="A14" s="12" t="s">
        <v>124</v>
      </c>
      <c r="B14" s="12" t="s">
        <v>39</v>
      </c>
      <c r="C14" s="12" t="s">
        <v>125</v>
      </c>
      <c r="D14" s="12" t="s">
        <v>118</v>
      </c>
    </row>
    <row r="15" spans="1:4" ht="33.6" hidden="1" customHeight="1" x14ac:dyDescent="0.25">
      <c r="A15" s="12" t="s">
        <v>46</v>
      </c>
      <c r="B15" s="12" t="s">
        <v>184</v>
      </c>
      <c r="C15" s="12" t="s">
        <v>47</v>
      </c>
      <c r="D15" s="12" t="s">
        <v>105</v>
      </c>
    </row>
    <row r="16" spans="1:4" ht="55.2" x14ac:dyDescent="0.25">
      <c r="A16" s="12" t="s">
        <v>45</v>
      </c>
      <c r="B16" s="12" t="s">
        <v>39</v>
      </c>
      <c r="C16" s="12" t="s">
        <v>115</v>
      </c>
      <c r="D16" s="12" t="s">
        <v>105</v>
      </c>
    </row>
    <row r="17" spans="1:4" ht="41.4" x14ac:dyDescent="0.25">
      <c r="A17" s="12" t="s">
        <v>48</v>
      </c>
      <c r="B17" s="12" t="s">
        <v>39</v>
      </c>
      <c r="C17" s="12" t="s">
        <v>49</v>
      </c>
      <c r="D17" s="12" t="s">
        <v>105</v>
      </c>
    </row>
    <row r="18" spans="1:4" ht="27.6" x14ac:dyDescent="0.25">
      <c r="A18" s="12" t="s">
        <v>51</v>
      </c>
      <c r="B18" s="12" t="s">
        <v>39</v>
      </c>
      <c r="C18" s="12" t="s">
        <v>113</v>
      </c>
      <c r="D18" s="12" t="s">
        <v>105</v>
      </c>
    </row>
    <row r="19" spans="1:4" ht="27.6" x14ac:dyDescent="0.25">
      <c r="A19" s="12" t="s">
        <v>65</v>
      </c>
      <c r="B19" s="12" t="s">
        <v>39</v>
      </c>
      <c r="C19" s="12" t="s">
        <v>96</v>
      </c>
      <c r="D19" s="12" t="s">
        <v>105</v>
      </c>
    </row>
    <row r="20" spans="1:4" ht="27.6" x14ac:dyDescent="0.25">
      <c r="A20" s="12" t="s">
        <v>100</v>
      </c>
      <c r="B20" s="12" t="s">
        <v>39</v>
      </c>
      <c r="C20" s="12" t="s">
        <v>102</v>
      </c>
      <c r="D20" s="12" t="s">
        <v>105</v>
      </c>
    </row>
    <row r="21" spans="1:4" ht="41.4" x14ac:dyDescent="0.25">
      <c r="A21" s="12" t="s">
        <v>103</v>
      </c>
      <c r="B21" s="12" t="s">
        <v>39</v>
      </c>
      <c r="C21" s="12" t="s">
        <v>114</v>
      </c>
      <c r="D21" s="12" t="s">
        <v>105</v>
      </c>
    </row>
    <row r="22" spans="1:4" ht="27.6" hidden="1" x14ac:dyDescent="0.25">
      <c r="A22" s="12" t="s">
        <v>97</v>
      </c>
      <c r="B22" s="12" t="s">
        <v>98</v>
      </c>
      <c r="C22" s="12" t="s">
        <v>99</v>
      </c>
      <c r="D22" s="12" t="s">
        <v>105</v>
      </c>
    </row>
    <row r="23" spans="1:4" ht="27.6" hidden="1" x14ac:dyDescent="0.25">
      <c r="A23" s="12" t="s">
        <v>134</v>
      </c>
      <c r="B23" s="12" t="s">
        <v>184</v>
      </c>
      <c r="C23" s="12" t="s">
        <v>137</v>
      </c>
      <c r="D23" s="12" t="s">
        <v>129</v>
      </c>
    </row>
    <row r="24" spans="1:4" ht="41.4" x14ac:dyDescent="0.25">
      <c r="A24" s="12" t="s">
        <v>133</v>
      </c>
      <c r="B24" s="12" t="s">
        <v>39</v>
      </c>
      <c r="C24" s="12" t="s">
        <v>136</v>
      </c>
      <c r="D24" s="12" t="s">
        <v>129</v>
      </c>
    </row>
    <row r="25" spans="1:4" ht="41.4" x14ac:dyDescent="0.25">
      <c r="A25" s="12" t="s">
        <v>135</v>
      </c>
      <c r="B25" s="12" t="s">
        <v>39</v>
      </c>
      <c r="C25" s="12" t="s">
        <v>582</v>
      </c>
      <c r="D25" s="12" t="s">
        <v>129</v>
      </c>
    </row>
    <row r="26" spans="1:4" ht="69" x14ac:dyDescent="0.25">
      <c r="A26" s="12" t="s">
        <v>138</v>
      </c>
      <c r="B26" s="12" t="s">
        <v>39</v>
      </c>
      <c r="C26" s="12" t="s">
        <v>581</v>
      </c>
      <c r="D26" s="12" t="s">
        <v>129</v>
      </c>
    </row>
    <row r="27" spans="1:4" ht="41.4" x14ac:dyDescent="0.25">
      <c r="A27" s="12" t="s">
        <v>139</v>
      </c>
      <c r="B27" s="12" t="s">
        <v>39</v>
      </c>
      <c r="C27" s="12" t="s">
        <v>145</v>
      </c>
      <c r="D27" s="12" t="s">
        <v>129</v>
      </c>
    </row>
    <row r="28" spans="1:4" ht="41.4" x14ac:dyDescent="0.25">
      <c r="A28" s="12" t="s">
        <v>142</v>
      </c>
      <c r="B28" s="12" t="s">
        <v>39</v>
      </c>
      <c r="C28" s="12" t="s">
        <v>143</v>
      </c>
      <c r="D28" s="12" t="s">
        <v>129</v>
      </c>
    </row>
    <row r="29" spans="1:4" ht="55.2" x14ac:dyDescent="0.25">
      <c r="A29" s="12" t="s">
        <v>144</v>
      </c>
      <c r="B29" s="12" t="s">
        <v>39</v>
      </c>
      <c r="C29" s="12" t="s">
        <v>329</v>
      </c>
      <c r="D29" s="12" t="s">
        <v>129</v>
      </c>
    </row>
    <row r="30" spans="1:4" ht="27.6" hidden="1" x14ac:dyDescent="0.25">
      <c r="A30" s="12" t="s">
        <v>128</v>
      </c>
      <c r="B30" s="12" t="s">
        <v>98</v>
      </c>
      <c r="C30" s="12" t="s">
        <v>130</v>
      </c>
      <c r="D30" s="12" t="s">
        <v>129</v>
      </c>
    </row>
    <row r="31" spans="1:4" ht="41.4" hidden="1" x14ac:dyDescent="0.25">
      <c r="A31" s="12" t="s">
        <v>131</v>
      </c>
      <c r="B31" s="12" t="s">
        <v>98</v>
      </c>
      <c r="C31" s="12" t="s">
        <v>132</v>
      </c>
      <c r="D31" s="12" t="s">
        <v>129</v>
      </c>
    </row>
    <row r="32" spans="1:4" ht="41.4" hidden="1" x14ac:dyDescent="0.25">
      <c r="A32" s="12" t="s">
        <v>140</v>
      </c>
      <c r="B32" s="12" t="s">
        <v>98</v>
      </c>
      <c r="C32" s="12" t="s">
        <v>141</v>
      </c>
      <c r="D32" s="12" t="s">
        <v>129</v>
      </c>
    </row>
    <row r="33" spans="1:4" ht="55.2" hidden="1" x14ac:dyDescent="0.25">
      <c r="A33" s="2" t="s">
        <v>577</v>
      </c>
      <c r="B33" s="2" t="s">
        <v>184</v>
      </c>
      <c r="C33" s="2" t="s">
        <v>578</v>
      </c>
      <c r="D33" s="2" t="s">
        <v>55</v>
      </c>
    </row>
    <row r="34" spans="1:4" ht="41.4" hidden="1" x14ac:dyDescent="0.25">
      <c r="A34" s="12" t="s">
        <v>579</v>
      </c>
      <c r="B34" s="12" t="s">
        <v>184</v>
      </c>
      <c r="C34" s="12" t="s">
        <v>580</v>
      </c>
      <c r="D34" s="12" t="s">
        <v>105</v>
      </c>
    </row>
    <row r="35" spans="1:4" ht="41.4" hidden="1" x14ac:dyDescent="0.25">
      <c r="A35" s="2" t="s">
        <v>583</v>
      </c>
      <c r="B35" s="2" t="s">
        <v>98</v>
      </c>
      <c r="C35" s="2" t="s">
        <v>584</v>
      </c>
      <c r="D35" s="2" t="s">
        <v>55</v>
      </c>
    </row>
  </sheetData>
  <autoFilter ref="A1:D35" xr:uid="{6DF8A856-5E3F-4F82-AC87-CA307D114298}">
    <filterColumn colId="1">
      <filters>
        <filter val="Freshwater"/>
      </filters>
    </filterColumn>
  </autoFilter>
  <sortState xmlns:xlrd2="http://schemas.microsoft.com/office/spreadsheetml/2017/richdata2" ref="A2:D32">
    <sortCondition ref="D2:D32"/>
    <sortCondition ref="B2:B32"/>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612E-A437-4A38-BD7B-1482265E1A30}">
  <sheetPr codeName="Sheet8"/>
  <dimension ref="A1:N34"/>
  <sheetViews>
    <sheetView workbookViewId="0">
      <pane ySplit="1" topLeftCell="A3" activePane="bottomLeft" state="frozen"/>
      <selection pane="bottomLeft" activeCell="D26" sqref="D26"/>
    </sheetView>
  </sheetViews>
  <sheetFormatPr defaultRowHeight="13.8" x14ac:dyDescent="0.25"/>
  <cols>
    <col min="1" max="2" width="8.88671875" style="8"/>
    <col min="3" max="3" width="11" style="8" bestFit="1" customWidth="1"/>
    <col min="4" max="4" width="8" style="8" bestFit="1" customWidth="1"/>
    <col min="5" max="6" width="8.88671875" style="8"/>
    <col min="7" max="7" width="9.88671875" style="8" bestFit="1" customWidth="1"/>
    <col min="8" max="8" width="11" style="8" bestFit="1" customWidth="1"/>
    <col min="9" max="16384" width="8.88671875" style="8"/>
  </cols>
  <sheetData>
    <row r="1" spans="1:14" x14ac:dyDescent="0.25">
      <c r="A1" s="16" t="s">
        <v>2</v>
      </c>
      <c r="B1" s="16" t="s">
        <v>332</v>
      </c>
      <c r="C1" s="16" t="s">
        <v>0</v>
      </c>
      <c r="D1" s="16" t="s">
        <v>321</v>
      </c>
      <c r="F1" s="16" t="s">
        <v>2</v>
      </c>
      <c r="G1" s="16" t="s">
        <v>37</v>
      </c>
      <c r="H1" s="16" t="s">
        <v>0</v>
      </c>
      <c r="I1" s="16" t="s">
        <v>321</v>
      </c>
      <c r="K1" s="16" t="s">
        <v>2</v>
      </c>
      <c r="L1" s="16" t="s">
        <v>332</v>
      </c>
      <c r="M1" s="16" t="s">
        <v>0</v>
      </c>
      <c r="N1" s="16" t="s">
        <v>321</v>
      </c>
    </row>
    <row r="2" spans="1:14" x14ac:dyDescent="0.25">
      <c r="A2" s="8" t="s">
        <v>322</v>
      </c>
      <c r="B2" s="8" t="s">
        <v>37</v>
      </c>
      <c r="C2" s="8" t="s">
        <v>39</v>
      </c>
      <c r="D2" s="8" cm="1">
        <f t="array" ref="D2">SUMPRODUCT(--ISNUMBER(SEARCH("1",Bait!C2:C100)))</f>
        <v>33</v>
      </c>
      <c r="F2" s="8" t="s">
        <v>146</v>
      </c>
      <c r="G2" s="8" t="str">
        <f>_xlfn.XLOOKUP(H2,Fish!C:C,Fish!B:B,"")</f>
        <v>Brackish</v>
      </c>
      <c r="H2" s="8" t="s">
        <v>276</v>
      </c>
      <c r="I2" s="8">
        <f>COUNTIFS(Fish!C:C,H2,Fish!B:B,G2)</f>
        <v>2</v>
      </c>
      <c r="K2" s="8" t="s">
        <v>322</v>
      </c>
      <c r="L2" s="8" t="s">
        <v>331</v>
      </c>
      <c r="M2" s="8" t="s">
        <v>321</v>
      </c>
      <c r="N2" s="8">
        <f>COUNTA(Bait!A:A)-1</f>
        <v>43</v>
      </c>
    </row>
    <row r="3" spans="1:14" x14ac:dyDescent="0.25">
      <c r="A3" s="8" t="s">
        <v>322</v>
      </c>
      <c r="B3" s="8" t="s">
        <v>37</v>
      </c>
      <c r="C3" s="8" t="s">
        <v>184</v>
      </c>
      <c r="D3" s="8" cm="1">
        <f t="array" ref="D3">SUMPRODUCT(--ISNUMBER(SEARCH("2",Bait!C2:C100)))</f>
        <v>22</v>
      </c>
      <c r="F3" s="8" t="s">
        <v>146</v>
      </c>
      <c r="G3" s="8" t="s">
        <v>184</v>
      </c>
      <c r="H3" s="8" t="s">
        <v>34</v>
      </c>
      <c r="I3" s="8">
        <f>COUNTIFS(Fish!C:C,H3,Fish!B:B,G3)</f>
        <v>2</v>
      </c>
      <c r="K3" s="8" t="s">
        <v>146</v>
      </c>
      <c r="L3" s="8" t="s">
        <v>331</v>
      </c>
      <c r="M3" s="8" t="s">
        <v>321</v>
      </c>
      <c r="N3" s="8">
        <f>COUNTA(Fish!A:A)-1</f>
        <v>100</v>
      </c>
    </row>
    <row r="4" spans="1:14" x14ac:dyDescent="0.25">
      <c r="A4" s="8" t="s">
        <v>322</v>
      </c>
      <c r="B4" s="8" t="s">
        <v>37</v>
      </c>
      <c r="C4" s="8" t="s">
        <v>98</v>
      </c>
      <c r="D4" s="8" cm="1">
        <f t="array" ref="D4">SUMPRODUCT(--ISNUMBER(SEARCH("3",Bait!C2:C100)))</f>
        <v>16</v>
      </c>
      <c r="F4" s="8" t="s">
        <v>146</v>
      </c>
      <c r="G4" s="8" t="str">
        <f>_xlfn.XLOOKUP(H4,Fish!C:C,Fish!B:B,"")</f>
        <v>Brackish</v>
      </c>
      <c r="H4" s="8" t="s">
        <v>34</v>
      </c>
      <c r="I4" s="8">
        <f>COUNTIFS(Fish!C:C,H4,Fish!B:B,G4)</f>
        <v>2</v>
      </c>
      <c r="K4" s="8" t="s">
        <v>52</v>
      </c>
      <c r="L4" s="8" t="s">
        <v>331</v>
      </c>
      <c r="M4" s="8" t="s">
        <v>321</v>
      </c>
      <c r="N4" s="8">
        <f>COUNTA(Location!A:A)-1</f>
        <v>34</v>
      </c>
    </row>
    <row r="5" spans="1:14" x14ac:dyDescent="0.25">
      <c r="A5" s="8" t="s">
        <v>146</v>
      </c>
      <c r="B5" s="8" t="s">
        <v>7</v>
      </c>
      <c r="C5" s="8" t="s">
        <v>15</v>
      </c>
      <c r="D5" s="8">
        <f>COUNTIF(Fish!D:D,"Common")</f>
        <v>39</v>
      </c>
      <c r="F5" s="8" t="s">
        <v>146</v>
      </c>
      <c r="G5" s="8" t="s">
        <v>184</v>
      </c>
      <c r="H5" s="8" t="s">
        <v>226</v>
      </c>
      <c r="I5" s="8">
        <f>COUNTIFS(Fish!C:C,H5,Fish!B:B,G5)</f>
        <v>2</v>
      </c>
      <c r="K5" s="8" t="s">
        <v>323</v>
      </c>
      <c r="L5" s="8" t="s">
        <v>331</v>
      </c>
      <c r="M5" s="8" t="s">
        <v>321</v>
      </c>
      <c r="N5" s="8">
        <f>COUNTA(Rod!A:A)-1</f>
        <v>18</v>
      </c>
    </row>
    <row r="6" spans="1:14" x14ac:dyDescent="0.25">
      <c r="A6" s="8" t="s">
        <v>146</v>
      </c>
      <c r="B6" s="8" t="s">
        <v>7</v>
      </c>
      <c r="C6" s="8" t="s">
        <v>242</v>
      </c>
      <c r="D6" s="8">
        <f>COUNTIF(Fish!D:D,"Event")</f>
        <v>0</v>
      </c>
      <c r="F6" s="8" t="s">
        <v>146</v>
      </c>
      <c r="G6" s="8" t="str">
        <f>_xlfn.XLOOKUP(H6,Fish!C:C,Fish!B:B,"")</f>
        <v>Brackish</v>
      </c>
      <c r="H6" s="8" t="s">
        <v>226</v>
      </c>
      <c r="I6" s="8">
        <f>COUNTIFS(Fish!C:C,H6,Fish!B:B,G6)</f>
        <v>2</v>
      </c>
      <c r="K6" s="8" t="s">
        <v>341</v>
      </c>
      <c r="L6" s="8" t="s">
        <v>331</v>
      </c>
      <c r="M6" s="8" t="s">
        <v>321</v>
      </c>
      <c r="N6" s="8">
        <f>COUNTA(Mutation!A:A)-1</f>
        <v>0</v>
      </c>
    </row>
    <row r="7" spans="1:14" x14ac:dyDescent="0.25">
      <c r="A7" s="8" t="s">
        <v>146</v>
      </c>
      <c r="B7" s="8" t="s">
        <v>7</v>
      </c>
      <c r="C7" s="8" t="s">
        <v>240</v>
      </c>
      <c r="D7" s="8">
        <f>COUNTIF(Fish!D:D,"Legendary")</f>
        <v>0</v>
      </c>
      <c r="F7" s="8" t="s">
        <v>146</v>
      </c>
      <c r="G7" s="8" t="str">
        <f>_xlfn.XLOOKUP(H7,Fish!C:C,Fish!B:B,"")</f>
        <v>Brackish</v>
      </c>
      <c r="H7" s="8" t="s">
        <v>291</v>
      </c>
      <c r="I7" s="8">
        <f>COUNTIFS(Fish!C:C,H7,Fish!B:B,G7)</f>
        <v>4</v>
      </c>
    </row>
    <row r="8" spans="1:14" x14ac:dyDescent="0.25">
      <c r="A8" s="8" t="s">
        <v>146</v>
      </c>
      <c r="B8" s="8" t="s">
        <v>7</v>
      </c>
      <c r="C8" s="8" t="s">
        <v>241</v>
      </c>
      <c r="D8" s="8">
        <f>COUNTIF(Fish!D:D,"Mythical")</f>
        <v>0</v>
      </c>
      <c r="F8" s="8" t="s">
        <v>146</v>
      </c>
      <c r="G8" s="8" t="str">
        <f>_xlfn.XLOOKUP(H8,Fish!C:C,Fish!B:B,"")</f>
        <v>Brackish</v>
      </c>
      <c r="H8" s="8" t="s">
        <v>358</v>
      </c>
      <c r="I8" s="8">
        <f>COUNTIFS(Fish!C:C,H8,Fish!B:B,G8)</f>
        <v>1</v>
      </c>
    </row>
    <row r="9" spans="1:14" x14ac:dyDescent="0.25">
      <c r="A9" s="8" t="s">
        <v>146</v>
      </c>
      <c r="B9" s="8" t="s">
        <v>7</v>
      </c>
      <c r="C9" s="8" t="s">
        <v>20</v>
      </c>
      <c r="D9" s="8">
        <f>COUNTIF(Fish!D:D,"Rare")</f>
        <v>15</v>
      </c>
      <c r="F9" s="8" t="s">
        <v>146</v>
      </c>
      <c r="G9" s="8" t="str">
        <f>_xlfn.XLOOKUP(H9,Fish!C:C,Fish!B:B,"")</f>
        <v>Brackish</v>
      </c>
      <c r="H9" s="8" t="s">
        <v>362</v>
      </c>
      <c r="I9" s="8">
        <f>COUNTIFS(Fish!C:C,H9,Fish!B:B,G9)</f>
        <v>1</v>
      </c>
    </row>
    <row r="10" spans="1:14" x14ac:dyDescent="0.25">
      <c r="A10" s="8" t="s">
        <v>146</v>
      </c>
      <c r="B10" s="8" t="s">
        <v>7</v>
      </c>
      <c r="C10" s="8" t="s">
        <v>17</v>
      </c>
      <c r="D10" s="8">
        <f>COUNTIF(Fish!D:D,"Uncommon")</f>
        <v>46</v>
      </c>
      <c r="F10" s="8" t="s">
        <v>146</v>
      </c>
      <c r="G10" s="8" t="str">
        <f>_xlfn.XLOOKUP(H10,Fish!C:C,Fish!B:B,"")</f>
        <v>Brackish</v>
      </c>
      <c r="H10" s="8" t="s">
        <v>273</v>
      </c>
      <c r="I10" s="8">
        <f>COUNTIFS(Fish!C:C,H10,Fish!B:B,G10)</f>
        <v>5</v>
      </c>
    </row>
    <row r="11" spans="1:14" x14ac:dyDescent="0.25">
      <c r="A11" s="8" t="s">
        <v>146</v>
      </c>
      <c r="B11" s="8" t="s">
        <v>37</v>
      </c>
      <c r="C11" s="8" t="s">
        <v>184</v>
      </c>
      <c r="D11" s="8">
        <f>COUNTIF(Fish!B:B,"Brackish")</f>
        <v>24</v>
      </c>
      <c r="F11" s="8" t="s">
        <v>146</v>
      </c>
      <c r="G11" s="8" t="str">
        <f>_xlfn.XLOOKUP(H11,Fish!C:C,Fish!B:B,"")</f>
        <v>Brackish</v>
      </c>
      <c r="H11" s="8" t="s">
        <v>423</v>
      </c>
      <c r="I11" s="8">
        <f>COUNTIFS(Fish!C:C,H11,Fish!B:B,G11)</f>
        <v>1</v>
      </c>
    </row>
    <row r="12" spans="1:14" x14ac:dyDescent="0.25">
      <c r="A12" s="8" t="s">
        <v>146</v>
      </c>
      <c r="B12" s="8" t="s">
        <v>37</v>
      </c>
      <c r="C12" s="8" t="s">
        <v>39</v>
      </c>
      <c r="D12" s="8">
        <f>COUNTIF(Fish!B:B,"Freshwater")</f>
        <v>50</v>
      </c>
      <c r="F12" s="8" t="s">
        <v>146</v>
      </c>
      <c r="G12" s="8" t="str">
        <f>_xlfn.XLOOKUP(H12,Fish!C:C,Fish!B:B,"")</f>
        <v>Brackish</v>
      </c>
      <c r="H12" s="8" t="s">
        <v>411</v>
      </c>
      <c r="I12" s="8">
        <f>COUNTIFS(Fish!C:C,H12,Fish!B:B,G12)</f>
        <v>1</v>
      </c>
    </row>
    <row r="13" spans="1:14" x14ac:dyDescent="0.25">
      <c r="A13" s="8" t="s">
        <v>146</v>
      </c>
      <c r="B13" s="8" t="s">
        <v>37</v>
      </c>
      <c r="C13" s="8" t="s">
        <v>98</v>
      </c>
      <c r="D13" s="8">
        <f>COUNTIF(Fish!B:B,"Seawater")</f>
        <v>26</v>
      </c>
      <c r="F13" s="8" t="s">
        <v>146</v>
      </c>
      <c r="G13" s="8" t="str">
        <f>_xlfn.XLOOKUP(H13,Fish!C:C,Fish!B:B,"")</f>
        <v>Brackish</v>
      </c>
      <c r="H13" s="8" t="s">
        <v>279</v>
      </c>
      <c r="I13" s="8">
        <f>COUNTIFS(Fish!C:C,H13,Fish!B:B,G13)</f>
        <v>2</v>
      </c>
    </row>
    <row r="14" spans="1:14" x14ac:dyDescent="0.25">
      <c r="A14" s="8" t="s">
        <v>52</v>
      </c>
      <c r="B14" s="8" t="s">
        <v>104</v>
      </c>
      <c r="C14" s="8" t="s">
        <v>55</v>
      </c>
      <c r="D14" s="8">
        <f>COUNTIF(Location!D:D,"Ourea")</f>
        <v>8</v>
      </c>
      <c r="F14" s="8" t="s">
        <v>146</v>
      </c>
      <c r="G14" s="8" t="str">
        <f>_xlfn.XLOOKUP(H14,Fish!C:C,Fish!B:B,"")</f>
        <v>Brackish</v>
      </c>
      <c r="H14" s="8" t="s">
        <v>420</v>
      </c>
      <c r="I14" s="8">
        <f>COUNTIFS(Fish!C:C,H14,Fish!B:B,G14)</f>
        <v>1</v>
      </c>
    </row>
    <row r="15" spans="1:14" x14ac:dyDescent="0.25">
      <c r="A15" s="8" t="s">
        <v>52</v>
      </c>
      <c r="B15" s="8" t="s">
        <v>104</v>
      </c>
      <c r="C15" s="8" t="s">
        <v>118</v>
      </c>
      <c r="D15" s="8">
        <f>COUNTIF(Location!D:D,"Rosegleam")</f>
        <v>6</v>
      </c>
      <c r="F15" s="8" t="s">
        <v>146</v>
      </c>
      <c r="G15" s="8" t="str">
        <f>_xlfn.XLOOKUP(H15,Fish!C:C,Fish!B:B,"")</f>
        <v>Brackish</v>
      </c>
      <c r="H15" s="8" t="s">
        <v>414</v>
      </c>
      <c r="I15" s="8">
        <f>COUNTIFS(Fish!C:C,H15,Fish!B:B,G15)</f>
        <v>1</v>
      </c>
    </row>
    <row r="16" spans="1:14" x14ac:dyDescent="0.25">
      <c r="A16" s="8" t="s">
        <v>52</v>
      </c>
      <c r="B16" s="8" t="s">
        <v>104</v>
      </c>
      <c r="C16" s="8" t="s">
        <v>105</v>
      </c>
      <c r="D16" s="8">
        <f>COUNTIF(Location!D:D,"Seran")</f>
        <v>9</v>
      </c>
      <c r="F16" s="8" t="s">
        <v>146</v>
      </c>
      <c r="G16" s="8" t="str">
        <f>_xlfn.XLOOKUP(H16,Fish!C:C,Fish!B:B,"")</f>
        <v>Freshwater</v>
      </c>
      <c r="H16" s="8" t="s">
        <v>14</v>
      </c>
      <c r="I16" s="8">
        <f>COUNTIFS(Fish!C:C,H16,Fish!B:B,G16)</f>
        <v>10</v>
      </c>
    </row>
    <row r="17" spans="1:9" x14ac:dyDescent="0.25">
      <c r="A17" s="8" t="s">
        <v>52</v>
      </c>
      <c r="B17" s="8" t="s">
        <v>104</v>
      </c>
      <c r="C17" s="8" t="s">
        <v>129</v>
      </c>
      <c r="D17" s="8">
        <f>COUNTIF(Location!D:D,"Tidehaven")</f>
        <v>10</v>
      </c>
      <c r="F17" s="8" t="s">
        <v>146</v>
      </c>
      <c r="G17" s="8" t="str">
        <f>_xlfn.XLOOKUP(H17,Fish!C:C,Fish!B:B,"")</f>
        <v>Freshwater</v>
      </c>
      <c r="H17" s="8" t="s">
        <v>282</v>
      </c>
      <c r="I17" s="8">
        <f>COUNTIFS(Fish!C:C,H17,Fish!B:B,G17)</f>
        <v>1</v>
      </c>
    </row>
    <row r="18" spans="1:9" x14ac:dyDescent="0.25">
      <c r="A18" s="8" t="s">
        <v>52</v>
      </c>
      <c r="B18" s="8" t="s">
        <v>37</v>
      </c>
      <c r="C18" s="8" t="s">
        <v>184</v>
      </c>
      <c r="D18" s="8">
        <f>COUNTIF(Location!B:B,"Brackish")</f>
        <v>4</v>
      </c>
      <c r="F18" s="8" t="s">
        <v>146</v>
      </c>
      <c r="G18" s="8" t="str">
        <f>_xlfn.XLOOKUP(H18,Fish!C:C,Fish!B:B,"")</f>
        <v>Freshwater</v>
      </c>
      <c r="H18" s="8" t="s">
        <v>397</v>
      </c>
      <c r="I18" s="8">
        <f>COUNTIFS(Fish!C:C,H18,Fish!B:B,G18)</f>
        <v>5</v>
      </c>
    </row>
    <row r="19" spans="1:9" x14ac:dyDescent="0.25">
      <c r="A19" s="8" t="s">
        <v>52</v>
      </c>
      <c r="B19" s="8" t="s">
        <v>37</v>
      </c>
      <c r="C19" s="8" t="s">
        <v>39</v>
      </c>
      <c r="D19" s="8">
        <f>COUNTIF(Location!B:B,"Freshwater")</f>
        <v>25</v>
      </c>
      <c r="F19" s="8" t="s">
        <v>146</v>
      </c>
      <c r="G19" s="8" t="str">
        <f>_xlfn.XLOOKUP(H19,Fish!C:C,Fish!B:B,"")</f>
        <v>Freshwater</v>
      </c>
      <c r="H19" s="8" t="s">
        <v>386</v>
      </c>
      <c r="I19" s="8">
        <f>COUNTIFS(Fish!C:C,H19,Fish!B:B,G19)</f>
        <v>4</v>
      </c>
    </row>
    <row r="20" spans="1:9" x14ac:dyDescent="0.25">
      <c r="A20" s="8" t="s">
        <v>52</v>
      </c>
      <c r="B20" s="8" t="s">
        <v>37</v>
      </c>
      <c r="C20" s="8" t="s">
        <v>98</v>
      </c>
      <c r="D20" s="8">
        <f>COUNTIF(Location!B:B,"Seawater")</f>
        <v>5</v>
      </c>
      <c r="F20" s="8" t="s">
        <v>146</v>
      </c>
      <c r="G20" s="8" t="str">
        <f>_xlfn.XLOOKUP(H20,Fish!C:C,Fish!B:B,"")</f>
        <v>Freshwater</v>
      </c>
      <c r="H20" s="8" t="s">
        <v>171</v>
      </c>
      <c r="I20" s="8">
        <f>COUNTIFS(Fish!C:C,H20,Fish!B:B,G20)</f>
        <v>10</v>
      </c>
    </row>
    <row r="21" spans="1:9" x14ac:dyDescent="0.25">
      <c r="F21" s="8" t="s">
        <v>146</v>
      </c>
      <c r="G21" s="8" t="str">
        <f>_xlfn.XLOOKUP(H21,Fish!C:C,Fish!B:B,"")</f>
        <v>Freshwater</v>
      </c>
      <c r="H21" s="8" t="s">
        <v>23</v>
      </c>
      <c r="I21" s="8">
        <f>COUNTIFS(Fish!C:C,H21,Fish!B:B,G21)</f>
        <v>10</v>
      </c>
    </row>
    <row r="22" spans="1:9" x14ac:dyDescent="0.25">
      <c r="F22" s="8" t="s">
        <v>146</v>
      </c>
      <c r="G22" s="8" t="str">
        <f>_xlfn.XLOOKUP(H22,Fish!C:C,Fish!B:B,"")</f>
        <v>Seawater</v>
      </c>
      <c r="H22" s="8" t="s">
        <v>296</v>
      </c>
      <c r="I22" s="8">
        <f>COUNTIFS(Fish!C:C,H22,Fish!B:B,G22)</f>
        <v>1</v>
      </c>
    </row>
    <row r="23" spans="1:9" x14ac:dyDescent="0.25">
      <c r="F23" s="8" t="s">
        <v>146</v>
      </c>
      <c r="G23" s="8" t="str">
        <f>_xlfn.XLOOKUP(H23,Fish!C:C,Fish!B:B,"")</f>
        <v>Seawater</v>
      </c>
      <c r="H23" s="8" t="s">
        <v>315</v>
      </c>
      <c r="I23" s="8">
        <f>COUNTIFS(Fish!C:C,H23,Fish!B:B,G23)</f>
        <v>1</v>
      </c>
    </row>
    <row r="24" spans="1:9" x14ac:dyDescent="0.25">
      <c r="F24" s="8" t="s">
        <v>146</v>
      </c>
      <c r="G24" s="8" t="str">
        <f>_xlfn.XLOOKUP(H24,Fish!C:C,Fish!B:B,"")</f>
        <v>Seawater</v>
      </c>
      <c r="H24" s="8" t="s">
        <v>367</v>
      </c>
      <c r="I24" s="8">
        <f>COUNTIFS(Fish!C:C,H24,Fish!B:B,G24)</f>
        <v>1</v>
      </c>
    </row>
    <row r="25" spans="1:9" x14ac:dyDescent="0.25">
      <c r="F25" s="8" t="s">
        <v>146</v>
      </c>
      <c r="G25" s="8" t="str">
        <f>_xlfn.XLOOKUP(H25,Fish!C:C,Fish!B:B,"")</f>
        <v>Seawater</v>
      </c>
      <c r="H25" s="8" t="s">
        <v>318</v>
      </c>
      <c r="I25" s="8">
        <f>COUNTIFS(Fish!C:C,H25,Fish!B:B,G25)</f>
        <v>3</v>
      </c>
    </row>
    <row r="26" spans="1:9" x14ac:dyDescent="0.25">
      <c r="F26" s="8" t="s">
        <v>146</v>
      </c>
      <c r="G26" s="8" t="s">
        <v>98</v>
      </c>
      <c r="H26" s="8" t="s">
        <v>34</v>
      </c>
      <c r="I26" s="8">
        <f>COUNTIFS(Fish!C:C,H26,Fish!B:B,G26)</f>
        <v>4</v>
      </c>
    </row>
    <row r="27" spans="1:9" x14ac:dyDescent="0.25">
      <c r="F27" s="8" t="s">
        <v>146</v>
      </c>
      <c r="G27" s="8" t="s">
        <v>98</v>
      </c>
      <c r="H27" s="8" t="s">
        <v>226</v>
      </c>
      <c r="I27" s="8">
        <f>COUNTIFS(Fish!C:C,H27,Fish!B:B,G27)</f>
        <v>2</v>
      </c>
    </row>
    <row r="28" spans="1:9" x14ac:dyDescent="0.25">
      <c r="F28" s="8" t="s">
        <v>146</v>
      </c>
      <c r="G28" s="8" t="str">
        <f>_xlfn.XLOOKUP(H28,Fish!C:C,Fish!B:B,"")</f>
        <v>Seawater</v>
      </c>
      <c r="H28" s="8" t="s">
        <v>308</v>
      </c>
      <c r="I28" s="8">
        <f>COUNTIFS(Fish!C:C,H28,Fish!B:B,G28)</f>
        <v>1</v>
      </c>
    </row>
    <row r="29" spans="1:9" x14ac:dyDescent="0.25">
      <c r="F29" s="8" t="s">
        <v>146</v>
      </c>
      <c r="G29" s="8" t="s">
        <v>98</v>
      </c>
      <c r="H29" s="8" t="s">
        <v>358</v>
      </c>
      <c r="I29" s="8">
        <f>COUNTIFS(Fish!C:C,H29,Fish!B:B,G29)</f>
        <v>1</v>
      </c>
    </row>
    <row r="30" spans="1:9" x14ac:dyDescent="0.25">
      <c r="F30" s="8" t="s">
        <v>146</v>
      </c>
      <c r="G30" s="8" t="str">
        <f>_xlfn.XLOOKUP(H30,Fish!C:C,Fish!B:B,"")</f>
        <v>Seawater</v>
      </c>
      <c r="H30" s="8" t="s">
        <v>310</v>
      </c>
      <c r="I30" s="8">
        <f>COUNTIFS(Fish!C:C,H30,Fish!B:B,G30)</f>
        <v>1</v>
      </c>
    </row>
    <row r="31" spans="1:9" x14ac:dyDescent="0.25">
      <c r="F31" s="8" t="s">
        <v>146</v>
      </c>
      <c r="G31" s="8" t="str">
        <f>_xlfn.XLOOKUP(H31,Fish!C:C,Fish!B:B,"")</f>
        <v>Seawater</v>
      </c>
      <c r="H31" s="8" t="s">
        <v>305</v>
      </c>
      <c r="I31" s="8">
        <f>COUNTIFS(Fish!C:C,H31,Fish!B:B,G31)</f>
        <v>1</v>
      </c>
    </row>
    <row r="32" spans="1:9" x14ac:dyDescent="0.25">
      <c r="F32" s="8" t="s">
        <v>146</v>
      </c>
      <c r="G32" s="8" t="str">
        <f>_xlfn.XLOOKUP(H32,Fish!C:C,Fish!B:B,"")</f>
        <v>Seawater</v>
      </c>
      <c r="H32" s="8" t="s">
        <v>378</v>
      </c>
      <c r="I32" s="8">
        <f>COUNTIFS(Fish!C:C,H32,Fish!B:B,G32)</f>
        <v>1</v>
      </c>
    </row>
    <row r="33" spans="6:9" x14ac:dyDescent="0.25">
      <c r="F33" s="8" t="s">
        <v>146</v>
      </c>
      <c r="G33" s="8" t="str">
        <f>_xlfn.XLOOKUP(H33,Fish!C:C,Fish!B:B,"")</f>
        <v>Seawater</v>
      </c>
      <c r="H33" s="8" t="s">
        <v>301</v>
      </c>
      <c r="I33" s="8">
        <f>COUNTIFS(Fish!C:C,H33,Fish!B:B,G33)</f>
        <v>1</v>
      </c>
    </row>
    <row r="34" spans="6:9" x14ac:dyDescent="0.25">
      <c r="F34" s="8" t="s">
        <v>146</v>
      </c>
      <c r="G34" s="8" t="str">
        <f>_xlfn.XLOOKUP(H34,Fish!C:C,Fish!B:B,"")</f>
        <v>Seawater</v>
      </c>
      <c r="H34" s="8" t="s">
        <v>373</v>
      </c>
      <c r="I34" s="8">
        <f>COUNTIFS(Fish!C:C,H34,Fish!B:B,G34)</f>
        <v>4</v>
      </c>
    </row>
  </sheetData>
  <autoFilter ref="A1:N1" xr:uid="{30B1612E-A437-4A38-BD7B-1482265E1A30}"/>
  <sortState xmlns:xlrd2="http://schemas.microsoft.com/office/spreadsheetml/2017/richdata2" ref="F2:I34">
    <sortCondition ref="G2:G34"/>
    <sortCondition ref="H2:H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Glossary</vt:lpstr>
      <vt:lpstr>Rarity</vt:lpstr>
      <vt:lpstr>Bait</vt:lpstr>
      <vt:lpstr>Rod</vt:lpstr>
      <vt:lpstr>Fish</vt:lpstr>
      <vt:lpstr>Mutation</vt:lpstr>
      <vt:lpstr>Location</vt:lpstr>
      <vt:lpstr>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 Indonesia</dc:creator>
  <cp:lastModifiedBy>Veron Indonesia</cp:lastModifiedBy>
  <dcterms:created xsi:type="dcterms:W3CDTF">2026-06-22T02:59:45Z</dcterms:created>
  <dcterms:modified xsi:type="dcterms:W3CDTF">2026-06-27T08:58:38Z</dcterms:modified>
</cp:coreProperties>
</file>